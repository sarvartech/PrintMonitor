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KPI отчёт июль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Норма и список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\ ##0"/>
    <numFmt numFmtId="165" formatCode="0.0%"/>
  </numFmts>
  <fonts count="11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1F2937"/>
      <sz val="11"/>
    </font>
    <font>
      <name val="Carlito"/>
      <sz val="11"/>
    </font>
    <font>
      <name val="Carlito"/>
      <sz val="10"/>
    </font>
    <font>
      <name val="Carlito"/>
      <charset val="204"/>
      <b val="1"/>
      <sz val="16"/>
    </font>
    <font>
      <name val="Carlito"/>
      <b val="1"/>
      <sz val="14"/>
    </font>
    <font>
      <name val="Carlito"/>
      <sz val="14"/>
    </font>
    <font>
      <name val="Carlito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EAF2F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10"/>
    <xf numFmtId="0" fontId="5" fillId="0" borderId="10"/>
  </cellStyleXfs>
  <cellXfs count="50">
    <xf numFmtId="0" fontId="0" fillId="0" borderId="0" pivotButton="0" quotePrefix="0" xfId="0"/>
    <xf numFmtId="0" fontId="2" fillId="3" borderId="0" applyAlignment="1" pivotButton="0" quotePrefix="0" xfId="1">
      <alignment horizontal="center"/>
    </xf>
    <xf numFmtId="0" fontId="2" fillId="3" borderId="3" applyAlignment="1" pivotButton="0" quotePrefix="0" xfId="1">
      <alignment horizontal="center" wrapText="1"/>
    </xf>
    <xf numFmtId="0" fontId="2" fillId="3" borderId="4" applyAlignment="1" pivotButton="0" quotePrefix="0" xfId="1">
      <alignment horizontal="center" wrapText="1"/>
    </xf>
    <xf numFmtId="0" fontId="2" fillId="4" borderId="3" applyAlignment="1" pivotButton="0" quotePrefix="0" xfId="1">
      <alignment wrapText="1"/>
    </xf>
    <xf numFmtId="0" fontId="0" fillId="0" borderId="4" applyAlignment="1" pivotButton="0" quotePrefix="0" xfId="1">
      <alignment wrapText="1"/>
    </xf>
    <xf numFmtId="164" fontId="0" fillId="0" borderId="4" applyAlignment="1" pivotButton="0" quotePrefix="0" xfId="1">
      <alignment wrapText="1"/>
    </xf>
    <xf numFmtId="10" fontId="0" fillId="0" borderId="4" applyAlignment="1" pivotButton="0" quotePrefix="0" xfId="1">
      <alignment wrapText="1"/>
    </xf>
    <xf numFmtId="0" fontId="2" fillId="4" borderId="5" applyAlignment="1" pivotButton="0" quotePrefix="0" xfId="1">
      <alignment wrapText="1"/>
    </xf>
    <xf numFmtId="0" fontId="0" fillId="0" borderId="6" applyAlignment="1" pivotButton="0" quotePrefix="0" xfId="1">
      <alignment wrapText="1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0" fillId="0" borderId="3" pivotButton="0" quotePrefix="0" xfId="1"/>
    <xf numFmtId="0" fontId="0" fillId="0" borderId="4" pivotButton="0" quotePrefix="0" xfId="1"/>
    <xf numFmtId="0" fontId="0" fillId="0" borderId="5" pivotButton="0" quotePrefix="0" xfId="1"/>
    <xf numFmtId="0" fontId="0" fillId="0" borderId="6" pivotButton="0" quotePrefix="0" xfId="1"/>
    <xf numFmtId="0" fontId="4" fillId="5" borderId="0" applyAlignment="1" pivotButton="0" quotePrefix="0" xfId="1">
      <alignment horizontal="center" vertical="center"/>
    </xf>
    <xf numFmtId="0" fontId="3" fillId="2" borderId="0" applyAlignment="1" pivotButton="0" quotePrefix="0" xfId="1">
      <alignment horizontal="center" vertical="center" wrapText="1"/>
    </xf>
    <xf numFmtId="0" fontId="0" fillId="0" borderId="3" applyAlignment="1" pivotButton="0" quotePrefix="0" xfId="1">
      <alignment wrapText="1"/>
    </xf>
    <xf numFmtId="0" fontId="0" fillId="0" borderId="8" applyAlignment="1" pivotButton="0" quotePrefix="0" xfId="1">
      <alignment wrapText="1"/>
    </xf>
    <xf numFmtId="0" fontId="0" fillId="0" borderId="5" applyAlignment="1" pivotButton="0" quotePrefix="0" xfId="1">
      <alignment wrapText="1"/>
    </xf>
    <xf numFmtId="0" fontId="0" fillId="0" borderId="9" applyAlignment="1" pivotButton="0" quotePrefix="0" xfId="1">
      <alignment wrapText="1"/>
    </xf>
    <xf numFmtId="0" fontId="3" fillId="2" borderId="7" applyAlignment="1" pivotButton="0" quotePrefix="0" xfId="1">
      <alignment horizontal="center"/>
    </xf>
    <xf numFmtId="2" fontId="0" fillId="0" borderId="4" applyAlignment="1" pivotButton="0" quotePrefix="0" xfId="1">
      <alignment wrapText="1"/>
    </xf>
    <xf numFmtId="0" fontId="0" fillId="0" borderId="11" applyAlignment="1" pivotButton="0" quotePrefix="0" xfId="1">
      <alignment wrapText="1"/>
    </xf>
    <xf numFmtId="1" fontId="0" fillId="0" borderId="11" applyAlignment="1" pivotButton="0" quotePrefix="0" xfId="1">
      <alignment horizontal="center" wrapText="1"/>
    </xf>
    <xf numFmtId="165" fontId="0" fillId="0" borderId="11" applyAlignment="1" pivotButton="0" quotePrefix="0" xfId="1">
      <alignment horizontal="center" wrapText="1"/>
    </xf>
    <xf numFmtId="164" fontId="0" fillId="0" borderId="11" applyAlignment="1" pivotButton="0" quotePrefix="0" xfId="1">
      <alignment horizontal="center" vertical="top" wrapText="1"/>
    </xf>
    <xf numFmtId="1" fontId="0" fillId="0" borderId="11" applyAlignment="1" pivotButton="0" quotePrefix="0" xfId="1">
      <alignment horizontal="center" vertical="top" wrapText="1"/>
    </xf>
    <xf numFmtId="0" fontId="0" fillId="0" borderId="11" applyAlignment="1" pivotButton="0" quotePrefix="0" xfId="1">
      <alignment horizontal="left" vertical="top" wrapText="1"/>
    </xf>
    <xf numFmtId="0" fontId="2" fillId="3" borderId="11" applyAlignment="1" pivotButton="0" quotePrefix="0" xfId="1">
      <alignment horizontal="center" vertical="center" wrapText="1"/>
    </xf>
    <xf numFmtId="164" fontId="2" fillId="3" borderId="11" applyAlignment="1" pivotButton="0" quotePrefix="0" xfId="1">
      <alignment horizontal="center" vertical="center" wrapText="1"/>
    </xf>
    <xf numFmtId="10" fontId="2" fillId="3" borderId="11" applyAlignment="1" pivotButton="0" quotePrefix="0" xfId="1">
      <alignment horizontal="center" vertical="center" wrapText="1"/>
    </xf>
    <xf numFmtId="0" fontId="6" fillId="0" borderId="11" applyAlignment="1" pivotButton="0" quotePrefix="0" xfId="1">
      <alignment horizontal="left" vertical="top" wrapText="1"/>
    </xf>
    <xf numFmtId="0" fontId="9" fillId="0" borderId="0" pivotButton="0" quotePrefix="0" xfId="0"/>
    <xf numFmtId="0" fontId="8" fillId="0" borderId="0" pivotButton="0" quotePrefix="0" xfId="0"/>
    <xf numFmtId="0" fontId="5" fillId="0" borderId="11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164" fontId="5" fillId="0" borderId="11" applyAlignment="1" pivotButton="0" quotePrefix="0" xfId="0">
      <alignment horizontal="center" vertical="top" wrapText="1"/>
    </xf>
    <xf numFmtId="1" fontId="5" fillId="0" borderId="11" applyAlignment="1" pivotButton="0" quotePrefix="0" xfId="0">
      <alignment horizontal="center" vertical="top" wrapText="1"/>
    </xf>
    <xf numFmtId="1" fontId="5" fillId="0" borderId="11" applyAlignment="1" pivotButton="0" quotePrefix="0" xfId="0">
      <alignment horizontal="center" wrapText="1"/>
    </xf>
    <xf numFmtId="0" fontId="5" fillId="0" borderId="11" applyAlignment="1" pivotButton="0" quotePrefix="0" xfId="0">
      <alignment wrapText="1"/>
    </xf>
    <xf numFmtId="0" fontId="5" fillId="0" borderId="10" applyAlignment="1" pivotButton="0" quotePrefix="0" xfId="0">
      <alignment wrapText="1"/>
    </xf>
    <xf numFmtId="0" fontId="8" fillId="0" borderId="10" applyAlignment="1" pivotButton="0" quotePrefix="0" xfId="0">
      <alignment horizontal="left" wrapText="1"/>
    </xf>
    <xf numFmtId="0" fontId="0" fillId="0" borderId="0" pivotButton="0" quotePrefix="0" xfId="0"/>
    <xf numFmtId="0" fontId="10" fillId="0" borderId="10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4" fillId="5" borderId="10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 wrapText="1"/>
    </xf>
    <xf numFmtId="0" fontId="1" fillId="2" borderId="10" applyAlignment="1" pivotButton="0" quotePrefix="0" xfId="1">
      <alignment horizontal="center" vertical="center"/>
    </xf>
  </cellXfs>
  <cellStyles count="2">
    <cellStyle name="Обычный" xfId="0" builtinId="0"/>
    <cellStyle name="Normal" xfId="1"/>
  </cellStyles>
  <dxfs count="12">
    <dxf>
      <font>
        <color rgb="FF0F5132"/>
      </font>
      <fill>
        <patternFill>
          <bgColor rgb="FFD1E7DD"/>
        </patternFill>
      </fill>
    </dxf>
    <dxf>
      <font>
        <b val="1"/>
        <color rgb="FF842029"/>
      </font>
      <fill>
        <patternFill>
          <bgColor rgb="FFF8D7DA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Страницы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Сводка!$D$3:$D$5</f>
              <strCache>
                <ptCount val="3"/>
                <pt idx="0">
                  <v>Факт</v>
                </pt>
                <pt idx="1">
                  <v>Лимит по норме</v>
                </pt>
                <pt idx="2">
                  <v>Остаток лимита</v>
                </pt>
              </strCache>
            </strRef>
          </cat>
          <val>
            <numRef>
              <f>Сводка!$E$3:$E$5</f>
              <numCache>
                <formatCode>General</formatCode>
                <ptCount val="3"/>
                <pt idx="0">
                  <v>13936</v>
                </pt>
                <pt idx="1">
                  <v>14740</v>
                </pt>
                <pt idx="2">
                  <v>804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6</row>
      <rowOff>0</rowOff>
    </from>
    <to>
      <col>10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KPI_May_Table" displayName="KPI_May_Table" ref="A5:J54" headerRowCount="1">
  <tableColumns count="10">
    <tableColumn id="1" name="№" dataDxfId="11"/>
    <tableColumn id="2" name="Boshqarma" dataDxfId="10"/>
    <tableColumn id="3" name="Lavozim" dataDxfId="9"/>
    <tableColumn id="4" name="FISH" dataDxfId="8"/>
    <tableColumn id="5" name="Norma, sah./oy" dataDxfId="7"/>
    <tableColumn id="6" name="Chop etilgan hujjatlar soni" dataDxfId="6"/>
    <tableColumn id="7" name="Chop etilgan sahifalar soni" dataDxfId="5"/>
    <tableColumn id="8" name="Norma bajarilishi (%)" dataDxfId="4"/>
    <tableColumn id="9" name="Normagacha qoldiq, sah." dataDxfId="3"/>
    <tableColumn id="10" name="Statu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8"/>
  <sheetViews>
    <sheetView tabSelected="1" topLeftCell="A44" workbookViewId="0">
      <selection activeCell="K55" sqref="K55"/>
    </sheetView>
  </sheetViews>
  <sheetFormatPr baseColWidth="8" defaultRowHeight="14.25"/>
  <cols>
    <col width="3" bestFit="1" customWidth="1" style="44" min="1" max="1"/>
    <col width="34" customWidth="1" style="44" min="2" max="2"/>
    <col width="26.75" bestFit="1" customWidth="1" style="44" min="3" max="3"/>
    <col width="36" customWidth="1" style="44" min="4" max="4"/>
    <col width="12.125" customWidth="1" style="44" min="5" max="5"/>
    <col width="12.25" bestFit="1" customWidth="1" style="44" min="6" max="6"/>
    <col width="12.625" bestFit="1" customWidth="1" style="44" min="7" max="7"/>
    <col width="15.75" bestFit="1" customWidth="1" style="44" min="8" max="8"/>
    <col width="11.875" bestFit="1" customWidth="1" style="44" min="9" max="9"/>
    <col width="14.125" bestFit="1" customWidth="1" style="44" min="10" max="10"/>
  </cols>
  <sheetData>
    <row r="1" ht="180.75" customHeight="1" s="44">
      <c r="F1" s="46" t="inlineStr">
        <is>
          <t>"TASDIQLAYMAN"
Oʻzbekiston Respublikasi 
Vazirlar Mahkamasi huzuridagi 
Yengil sanoatni rivojlantirish agentligi 
direktorining birinchi oʻrinbosari
_________________ B.Muxammadsaidov
"____"________ 2026-y.</t>
        </is>
      </c>
    </row>
    <row r="2" ht="47.25" customHeight="1" s="44">
      <c r="A2" s="45" t="inlineStr">
        <is>
          <t>Oʻzbekiston Respublikasi Vazirlar Mahkamasi huzuridagi Yengil sanoatni rivojlantirish agentligida 2026-yil iyul oyi uchun chop etilgan hujjatlar va sahifalar bo'yicha KPI hisoboti</t>
        </is>
      </c>
    </row>
    <row r="3" ht="21.95" customHeight="1" s="44">
      <c r="A3" s="47" t="inlineStr">
        <is>
          <t>JAMI VARAQ: 12 620</t>
        </is>
      </c>
      <c r="C3" s="16" t="inlineStr">
        <is>
          <t>Xodimlar: 61</t>
        </is>
      </c>
      <c r="D3" s="16" t="inlineStr">
        <is>
          <t>Jami limit: 14 740</t>
        </is>
      </c>
      <c r="E3" s="47" t="inlineStr">
        <is>
          <t>Qoldiq limit: 804</t>
        </is>
      </c>
      <c r="G3" s="16" t="n"/>
      <c r="H3" s="16" t="n"/>
      <c r="I3" s="16" t="n"/>
      <c r="J3" s="16" t="n"/>
    </row>
    <row r="4">
      <c r="C4" t="inlineStr">
        <is>
          <t>Jami limit: 13 420</t>
        </is>
      </c>
    </row>
    <row r="5" ht="30" customHeight="1" s="44">
      <c r="A5" s="17" t="inlineStr">
        <is>
          <t>№</t>
        </is>
      </c>
      <c r="B5" s="17" t="inlineStr">
        <is>
          <t>Boshqarma</t>
        </is>
      </c>
      <c r="C5" s="17" t="inlineStr">
        <is>
          <t>Qoldiq limit: 800</t>
        </is>
      </c>
      <c r="D5" s="17" t="inlineStr">
        <is>
          <t>FISH</t>
        </is>
      </c>
      <c r="E5" s="17" t="inlineStr">
        <is>
          <t>Norma, sah./oy</t>
        </is>
      </c>
      <c r="F5" s="17" t="inlineStr">
        <is>
          <t>Chop etilgan hujjatlar soni</t>
        </is>
      </c>
      <c r="G5" s="17" t="inlineStr">
        <is>
          <t>Chop etilgan sahifalar soni</t>
        </is>
      </c>
      <c r="H5" s="17" t="inlineStr">
        <is>
          <t>Norma bajarilishi (%)</t>
        </is>
      </c>
      <c r="I5" s="17" t="inlineStr">
        <is>
          <t>Normagacha qoldiq, sah.</t>
        </is>
      </c>
      <c r="J5" s="17" t="inlineStr">
        <is>
          <t>Status</t>
        </is>
      </c>
    </row>
    <row r="6" ht="38.25" customHeight="1" s="44">
      <c r="A6" s="29" t="n">
        <v>1</v>
      </c>
      <c r="B6" s="33" t="inlineStr">
        <is>
          <t>BIRINCHI BO‘LIM</t>
        </is>
      </c>
      <c r="C6" s="29" t="inlineStr">
        <is>
          <t>Bosh mutaxassis</t>
        </is>
      </c>
      <c r="D6" s="29" t="inlineStr">
        <is>
          <t>Shatursunova Zilola</t>
        </is>
      </c>
      <c r="E6" s="27">
        <f>Сводка!$B$5</f>
        <v/>
      </c>
      <c r="F6" s="28" t="n">
        <v>50</v>
      </c>
      <c r="G6" s="28" t="n">
        <v>202</v>
      </c>
      <c r="H6" s="26">
        <f>G6/E6</f>
        <v/>
      </c>
      <c r="I6" s="25">
        <f>E6-G6</f>
        <v/>
      </c>
      <c r="J6" s="24" t="inlineStr">
        <is>
          <t>norma doirasida</t>
        </is>
      </c>
    </row>
    <row r="7" ht="38.25" customHeight="1" s="44">
      <c r="A7" s="29" t="n">
        <v>2</v>
      </c>
      <c r="B7" s="33" t="inlineStr">
        <is>
          <t>IJRO NAZORATI VA MUROJAATLAR BO'LIMI</t>
        </is>
      </c>
      <c r="C7" s="29" t="inlineStr">
        <is>
          <t>Boshqarma boshlig‘i</t>
        </is>
      </c>
      <c r="D7" s="29" t="inlineStr">
        <is>
          <t>Musayev Boburjon</t>
        </is>
      </c>
      <c r="E7" s="27">
        <f>Сводка!$B$5</f>
        <v/>
      </c>
      <c r="F7" s="28" t="n">
        <v>51</v>
      </c>
      <c r="G7" s="28" t="n">
        <v>205</v>
      </c>
      <c r="H7" s="26">
        <f>G7/E7</f>
        <v/>
      </c>
      <c r="I7" s="25">
        <f>E7-G7</f>
        <v/>
      </c>
      <c r="J7" s="24" t="inlineStr">
        <is>
          <t>norma doirasida</t>
        </is>
      </c>
    </row>
    <row r="8" ht="38.25" customHeight="1" s="44">
      <c r="A8" s="29" t="n">
        <v>3</v>
      </c>
      <c r="B8" s="33" t="inlineStr">
        <is>
          <t>IJRO NAZORATI VA MUROJAATLAR BO'LIMI</t>
        </is>
      </c>
      <c r="C8" s="29" t="inlineStr">
        <is>
          <t>Yetakchi mutaxassis</t>
        </is>
      </c>
      <c r="D8" s="29" t="inlineStr">
        <is>
          <t>Saparova Gulshanbonu</t>
        </is>
      </c>
      <c r="E8" s="27">
        <f>Сводка!$B$5</f>
        <v/>
      </c>
      <c r="F8" s="28" t="n">
        <v>51</v>
      </c>
      <c r="G8" s="28" t="n">
        <v>199</v>
      </c>
      <c r="H8" s="26">
        <f>G8/E8</f>
        <v/>
      </c>
      <c r="I8" s="25">
        <f>E8-G8</f>
        <v/>
      </c>
      <c r="J8" s="24" t="inlineStr">
        <is>
          <t>norma doirasida</t>
        </is>
      </c>
    </row>
    <row r="9" ht="25.5" customHeight="1" s="44">
      <c r="A9" s="29" t="n">
        <v>4</v>
      </c>
      <c r="B9" s="33" t="inlineStr">
        <is>
          <t>IJRO NAZORATI VA MUROJAATLAR BO'LIMI</t>
        </is>
      </c>
      <c r="C9" s="29" t="inlineStr">
        <is>
          <t>Ish yurituvchi</t>
        </is>
      </c>
      <c r="D9" s="29" t="inlineStr">
        <is>
          <t>Baxriddinov Shamshodbek</t>
        </is>
      </c>
      <c r="E9" s="27">
        <f>Сводка!$B$5</f>
        <v/>
      </c>
      <c r="F9" s="28" t="n">
        <v>49</v>
      </c>
      <c r="G9" s="28" t="n">
        <v>190</v>
      </c>
      <c r="H9" s="26">
        <f>G9/E9</f>
        <v/>
      </c>
      <c r="I9" s="25">
        <f>E9-G9</f>
        <v/>
      </c>
      <c r="J9" s="24" t="inlineStr">
        <is>
          <t>norma doirasida</t>
        </is>
      </c>
    </row>
    <row r="10" ht="38.25" customHeight="1" s="44">
      <c r="A10" s="29" t="n">
        <v>5</v>
      </c>
      <c r="B10" s="33" t="inlineStr">
        <is>
          <t>INSON RESURSLARINI RIVOJLANTIRISH VA BOSHQARISH BO‘YICHA BOSH MUTAXASSIS</t>
        </is>
      </c>
      <c r="C10" s="29" t="inlineStr">
        <is>
          <t>Bosh mutaxassis</t>
        </is>
      </c>
      <c r="D10" s="29" t="inlineStr">
        <is>
          <t>Vapayeva Matlyuba</t>
        </is>
      </c>
      <c r="E10" s="27">
        <f>Сводка!$B$5</f>
        <v/>
      </c>
      <c r="F10" s="28" t="n">
        <v>51</v>
      </c>
      <c r="G10" s="28" t="n">
        <v>214</v>
      </c>
      <c r="H10" s="26">
        <f>G10/E10</f>
        <v/>
      </c>
      <c r="I10" s="25">
        <f>E10-G10</f>
        <v/>
      </c>
      <c r="J10" s="24" t="inlineStr">
        <is>
          <t>norma doirasida</t>
        </is>
      </c>
    </row>
    <row r="11" ht="25.5" customHeight="1" s="44">
      <c r="A11" s="29" t="n">
        <v>6</v>
      </c>
      <c r="B11" s="33" t="inlineStr">
        <is>
          <t>ISHLAR BOSHQARMASI</t>
        </is>
      </c>
      <c r="C11" s="29" t="inlineStr">
        <is>
          <t>Bosh mutaxassis</t>
        </is>
      </c>
      <c r="D11" s="29" t="inlineStr">
        <is>
          <t>Bulanov Dilshodbek</t>
        </is>
      </c>
      <c r="E11" s="27">
        <f>Сводка!$B$5</f>
        <v/>
      </c>
      <c r="F11" s="28" t="n">
        <v>55</v>
      </c>
      <c r="G11" s="28" t="n">
        <v>192</v>
      </c>
      <c r="H11" s="26">
        <f>G11/E11</f>
        <v/>
      </c>
      <c r="I11" s="25">
        <f>E11-G11</f>
        <v/>
      </c>
      <c r="J11" s="24" t="inlineStr">
        <is>
          <t>norma doirasida</t>
        </is>
      </c>
    </row>
    <row r="12" ht="25.5" customHeight="1" s="44">
      <c r="A12" s="29" t="n">
        <v>7</v>
      </c>
      <c r="B12" s="33" t="inlineStr">
        <is>
          <t>ISHLAR BOSHQARMASI</t>
        </is>
      </c>
      <c r="C12" s="29" t="inlineStr">
        <is>
          <t>Binolarga kompleks xizmat ko‘rsatish va ta‘mirlash bo‘yicha ishchi</t>
        </is>
      </c>
      <c r="D12" s="29" t="inlineStr">
        <is>
          <t>Mavlonov Akmal</t>
        </is>
      </c>
      <c r="E12" s="27">
        <f>Сводка!$B$5</f>
        <v/>
      </c>
      <c r="F12" s="28" t="n">
        <v>57</v>
      </c>
      <c r="G12" s="28" t="n">
        <v>204</v>
      </c>
      <c r="H12" s="26">
        <f>G12/E12</f>
        <v/>
      </c>
      <c r="I12" s="25">
        <f>E12-G12</f>
        <v/>
      </c>
      <c r="J12" s="24" t="inlineStr">
        <is>
          <t>norma doirasida</t>
        </is>
      </c>
    </row>
    <row r="13">
      <c r="A13" s="29" t="n">
        <v>8</v>
      </c>
      <c r="B13" s="33" t="inlineStr">
        <is>
          <t>ISHLAR BOSHQARMASI</t>
        </is>
      </c>
      <c r="C13" s="29" t="inlineStr">
        <is>
          <t>Xo'jalik mudiri</t>
        </is>
      </c>
      <c r="D13" s="29" t="inlineStr">
        <is>
          <t>Primkulov Avaz</t>
        </is>
      </c>
      <c r="E13" s="27">
        <f>Сводка!$B$5</f>
        <v/>
      </c>
      <c r="F13" s="28" t="n">
        <v>58</v>
      </c>
      <c r="G13" s="28" t="n">
        <v>214</v>
      </c>
      <c r="H13" s="26">
        <f>G13/E13</f>
        <v/>
      </c>
      <c r="I13" s="25">
        <f>E13-G13</f>
        <v/>
      </c>
      <c r="J13" s="24" t="inlineStr">
        <is>
          <t>norma doirasida</t>
        </is>
      </c>
    </row>
    <row r="14" ht="25.5" customHeight="1" s="44">
      <c r="A14" s="29" t="n">
        <v>9</v>
      </c>
      <c r="B14" s="33" t="inlineStr">
        <is>
          <t>KOMPLAENS NAZORATI VA ICHKI AUDIT BO‘YICHA BOSH MUTAXASSIS</t>
        </is>
      </c>
      <c r="C14" s="29" t="inlineStr">
        <is>
          <t>Bosh mutaxassis</t>
        </is>
      </c>
      <c r="D14" s="29" t="inlineStr">
        <is>
          <t>Muxammatov Alisher</t>
        </is>
      </c>
      <c r="E14" s="27">
        <f>Сводка!$B$5</f>
        <v/>
      </c>
      <c r="F14" s="28" t="n">
        <v>61</v>
      </c>
      <c r="G14" s="28" t="n">
        <v>220</v>
      </c>
      <c r="H14" s="26">
        <f>G14/E14</f>
        <v/>
      </c>
      <c r="I14" s="25">
        <f>E14-G14</f>
        <v/>
      </c>
      <c r="J14" s="24" t="inlineStr">
        <is>
          <t>norma doirasida</t>
        </is>
      </c>
    </row>
    <row r="15" ht="38.25" customHeight="1" s="44">
      <c r="A15" s="29" t="n">
        <v>10</v>
      </c>
      <c r="B15" s="33" t="inlineStr">
        <is>
          <t>KO‘RGAZMA-TADBIRLARNI TASHKIL ETISH BO'LIMI</t>
        </is>
      </c>
      <c r="C15" s="29" t="inlineStr">
        <is>
          <t>Bosh mutaxassis</t>
        </is>
      </c>
      <c r="D15" s="29" t="inlineStr">
        <is>
          <t>Beknazarov Sherzod</t>
        </is>
      </c>
      <c r="E15" s="27">
        <f>Сводка!$B$5</f>
        <v/>
      </c>
      <c r="F15" s="28" t="n">
        <v>52</v>
      </c>
      <c r="G15" s="28" t="n">
        <v>218</v>
      </c>
      <c r="H15" s="26">
        <f>G15/E15</f>
        <v/>
      </c>
      <c r="I15" s="25">
        <f>E15-G15</f>
        <v/>
      </c>
      <c r="J15" s="24" t="inlineStr">
        <is>
          <t>norma doirasida</t>
        </is>
      </c>
    </row>
    <row r="16" ht="38.25" customHeight="1" s="44">
      <c r="A16" s="29" t="n">
        <v>11</v>
      </c>
      <c r="B16" s="33" t="inlineStr">
        <is>
          <t>KO‘RGAZMA-TADBIRLARNI TASHKIL ETISH BO'LIMI</t>
        </is>
      </c>
      <c r="C16" s="29" t="inlineStr">
        <is>
          <t>Kotiba</t>
        </is>
      </c>
      <c r="D16" s="29" t="inlineStr">
        <is>
          <t>Isakova Kamila</t>
        </is>
      </c>
      <c r="E16" s="27">
        <f>Сводка!$B$5</f>
        <v/>
      </c>
      <c r="F16" s="28" t="n">
        <v>52</v>
      </c>
      <c r="G16" s="28" t="n">
        <v>210</v>
      </c>
      <c r="H16" s="26">
        <f>G16/E16</f>
        <v/>
      </c>
      <c r="I16" s="25">
        <f>E16-G16</f>
        <v/>
      </c>
      <c r="J16" s="24" t="inlineStr">
        <is>
          <t>norma doirasida</t>
        </is>
      </c>
    </row>
    <row r="17" ht="38.25" customHeight="1" s="44">
      <c r="A17" s="29" t="n">
        <v>12</v>
      </c>
      <c r="B17" s="33" t="inlineStr">
        <is>
          <t>MARKETING VA EKSPORTNI RIVOJLANTIRISH BOSHQARMASI</t>
        </is>
      </c>
      <c r="C17" s="29" t="inlineStr">
        <is>
          <t>Boshqarma boshlig‘i</t>
        </is>
      </c>
      <c r="D17" s="29" t="inlineStr">
        <is>
          <t>Tashmatov Baxodir</t>
        </is>
      </c>
      <c r="E17" s="27">
        <f>Сводка!$B$5</f>
        <v/>
      </c>
      <c r="F17" s="28" t="n">
        <v>53</v>
      </c>
      <c r="G17" s="28" t="n">
        <v>193</v>
      </c>
      <c r="H17" s="26">
        <f>G17/E17</f>
        <v/>
      </c>
      <c r="I17" s="25">
        <f>E17-G17</f>
        <v/>
      </c>
      <c r="J17" s="24" t="inlineStr">
        <is>
          <t>norma doirasida</t>
        </is>
      </c>
    </row>
    <row r="18" ht="38.25" customHeight="1" s="44">
      <c r="A18" s="29" t="n">
        <v>13</v>
      </c>
      <c r="B18" s="33" t="inlineStr">
        <is>
          <t>MARKETING VA EKSPORTNI RIVOJLANTIRISH BOSHQARMASI</t>
        </is>
      </c>
      <c r="C18" s="29" t="inlineStr">
        <is>
          <t>Boshqarma boshlig‘i</t>
        </is>
      </c>
      <c r="D18" s="29" t="inlineStr">
        <is>
          <t>Utamuradov Asqar</t>
        </is>
      </c>
      <c r="E18" s="27">
        <f>Сводка!$B$5</f>
        <v/>
      </c>
      <c r="F18" s="28" t="n">
        <v>51</v>
      </c>
      <c r="G18" s="28" t="n">
        <v>205</v>
      </c>
      <c r="H18" s="26">
        <f>G18/E18</f>
        <v/>
      </c>
      <c r="I18" s="25">
        <f>E18-G18</f>
        <v/>
      </c>
      <c r="J18" s="24" t="inlineStr">
        <is>
          <t>norma doirasida</t>
        </is>
      </c>
    </row>
    <row r="19" ht="25.5" customHeight="1" s="44">
      <c r="A19" s="29" t="n">
        <v>14</v>
      </c>
      <c r="B19" s="33" t="inlineStr">
        <is>
          <t>MARKETING VA EKSPORTNI RIVOJLANTIRISH BOSHQARMASI</t>
        </is>
      </c>
      <c r="C19" s="29" t="inlineStr">
        <is>
          <t>Bosh mutaxassis</t>
        </is>
      </c>
      <c r="D19" s="29" t="inlineStr">
        <is>
          <t>Abduraximov Abdulaziz</t>
        </is>
      </c>
      <c r="E19" s="27">
        <f>Сводка!$B$5</f>
        <v/>
      </c>
      <c r="F19" s="28" t="n">
        <v>59</v>
      </c>
      <c r="G19" s="28" t="n">
        <v>207</v>
      </c>
      <c r="H19" s="26">
        <f>G19/E19</f>
        <v/>
      </c>
      <c r="I19" s="25">
        <f>E19-G19</f>
        <v/>
      </c>
      <c r="J19" s="24" t="inlineStr">
        <is>
          <t>norma doirasida</t>
        </is>
      </c>
    </row>
    <row r="20" ht="25.5" customHeight="1" s="44">
      <c r="A20" s="29" t="n">
        <v>15</v>
      </c>
      <c r="B20" s="33" t="inlineStr">
        <is>
          <t>MARKETING VA EKSPORTNI RIVOJLANTIRISH BOSHQARMASI</t>
        </is>
      </c>
      <c r="C20" s="29" t="inlineStr">
        <is>
          <t>Bosh mutaxassis</t>
        </is>
      </c>
      <c r="D20" s="29" t="inlineStr">
        <is>
          <t>Asatullayeva Shirin</t>
        </is>
      </c>
      <c r="E20" s="27">
        <f>Сводка!$B$5</f>
        <v/>
      </c>
      <c r="F20" s="28" t="n">
        <v>61</v>
      </c>
      <c r="G20" s="28" t="n">
        <v>214</v>
      </c>
      <c r="H20" s="26">
        <f>G20/E20</f>
        <v/>
      </c>
      <c r="I20" s="25">
        <f>E20-G20</f>
        <v/>
      </c>
      <c r="J20" s="24" t="inlineStr">
        <is>
          <t>norma doirasida</t>
        </is>
      </c>
    </row>
    <row r="21" ht="25.5" customHeight="1" s="44">
      <c r="A21" s="29" t="n">
        <v>16</v>
      </c>
      <c r="B21" s="33" t="inlineStr">
        <is>
          <t>MARKETING VA EKSPORTNI RIVOJLANTIRISH BOSHQARMASI</t>
        </is>
      </c>
      <c r="C21" s="29" t="inlineStr">
        <is>
          <t>Bosh mutaxassis</t>
        </is>
      </c>
      <c r="D21" s="29" t="inlineStr">
        <is>
          <t>Gaparov Isfandiyorbek</t>
        </is>
      </c>
      <c r="E21" s="27">
        <f>Сводка!$B$5</f>
        <v/>
      </c>
      <c r="F21" s="28" t="n">
        <v>47</v>
      </c>
      <c r="G21" s="28" t="n">
        <v>200</v>
      </c>
      <c r="H21" s="26">
        <f>G21/E21</f>
        <v/>
      </c>
      <c r="I21" s="25">
        <f>E21-G21</f>
        <v/>
      </c>
      <c r="J21" s="24" t="inlineStr">
        <is>
          <t>norma doirasida</t>
        </is>
      </c>
    </row>
    <row r="22" ht="25.5" customHeight="1" s="44">
      <c r="A22" s="29" t="n">
        <v>17</v>
      </c>
      <c r="B22" s="33" t="inlineStr">
        <is>
          <t>MARKETING VA EKSPORTNI RIVOJLANTIRISH BOSHQARMASI</t>
        </is>
      </c>
      <c r="C22" s="29" t="inlineStr">
        <is>
          <t>Bosh mutaxassis</t>
        </is>
      </c>
      <c r="D22" s="29" t="inlineStr">
        <is>
          <t>Jumaboyev Rashid</t>
        </is>
      </c>
      <c r="E22" s="27">
        <f>Сводка!$B$5</f>
        <v/>
      </c>
      <c r="F22" s="28" t="n">
        <v>55</v>
      </c>
      <c r="G22" s="28" t="n">
        <v>203</v>
      </c>
      <c r="H22" s="26">
        <f>G22/E22</f>
        <v/>
      </c>
      <c r="I22" s="25">
        <f>E22-G22</f>
        <v/>
      </c>
      <c r="J22" s="24" t="inlineStr">
        <is>
          <t>norma doirasida</t>
        </is>
      </c>
    </row>
    <row r="23" ht="25.5" customHeight="1" s="44">
      <c r="A23" s="29" t="n">
        <v>18</v>
      </c>
      <c r="B23" s="33" t="inlineStr">
        <is>
          <t>MARKETING VA EKSPORTNI RIVOJLANTIRISH BOSHQARMASI</t>
        </is>
      </c>
      <c r="C23" s="29" t="inlineStr">
        <is>
          <t>Bosh mutaxassis</t>
        </is>
      </c>
      <c r="D23" s="29" t="inlineStr">
        <is>
          <t>Mirzayev Otabek</t>
        </is>
      </c>
      <c r="E23" s="27">
        <f>Сводка!$B$5</f>
        <v/>
      </c>
      <c r="F23" s="28" t="n">
        <v>63</v>
      </c>
      <c r="G23" s="28" t="n">
        <v>216</v>
      </c>
      <c r="H23" s="26">
        <f>G23/E23</f>
        <v/>
      </c>
      <c r="I23" s="25">
        <f>E23-G23</f>
        <v/>
      </c>
      <c r="J23" s="24" t="inlineStr">
        <is>
          <t>norma doirasida</t>
        </is>
      </c>
    </row>
    <row r="24" ht="25.5" customHeight="1" s="44">
      <c r="A24" s="29" t="n">
        <v>19</v>
      </c>
      <c r="B24" s="33" t="inlineStr">
        <is>
          <t>MARKETING VA EKSPORTNI RIVOJLANTIRISH BOSHQARMASI</t>
        </is>
      </c>
      <c r="C24" s="29" t="inlineStr">
        <is>
          <t>Bosh mutaxassis</t>
        </is>
      </c>
      <c r="D24" s="29" t="inlineStr">
        <is>
          <t>Nabiev Omonullo</t>
        </is>
      </c>
      <c r="E24" s="27">
        <f>Сводка!$B$5</f>
        <v/>
      </c>
      <c r="F24" s="28" t="n">
        <v>56</v>
      </c>
      <c r="G24" s="28" t="n">
        <v>207</v>
      </c>
      <c r="H24" s="26">
        <f>G24/E24</f>
        <v/>
      </c>
      <c r="I24" s="25">
        <f>E24-G24</f>
        <v/>
      </c>
      <c r="J24" s="24" t="inlineStr">
        <is>
          <t>norma doirasida</t>
        </is>
      </c>
    </row>
    <row r="25" ht="38.25" customHeight="1" s="44">
      <c r="A25" s="29" t="n">
        <v>20</v>
      </c>
      <c r="B25" s="33" t="inlineStr">
        <is>
          <t>MARKETING VA EKSPORTNI RIVOJLANTIRISH BOSHQARMASI</t>
        </is>
      </c>
      <c r="C25" s="29" t="inlineStr">
        <is>
          <t>Bosh mutaxassis</t>
        </is>
      </c>
      <c r="D25" s="29" t="inlineStr">
        <is>
          <t>Salayev Eldor</t>
        </is>
      </c>
      <c r="E25" s="27">
        <f>Сводка!$B$5</f>
        <v/>
      </c>
      <c r="F25" s="28" t="n">
        <v>59</v>
      </c>
      <c r="G25" s="28" t="n">
        <v>204</v>
      </c>
      <c r="H25" s="26">
        <f>G25/E25</f>
        <v/>
      </c>
      <c r="I25" s="25">
        <f>E25-G25</f>
        <v/>
      </c>
      <c r="J25" s="24" t="inlineStr">
        <is>
          <t>norma doirasida</t>
        </is>
      </c>
    </row>
    <row r="26" ht="38.25" customHeight="1" s="44">
      <c r="A26" s="29" t="n">
        <v>21</v>
      </c>
      <c r="B26" s="33" t="inlineStr">
        <is>
          <t>MARKETING VA EKSPORTNI RIVOJLANTIRISH BOSHQARMASI</t>
        </is>
      </c>
      <c r="C26" s="29" t="inlineStr">
        <is>
          <t>Texnik</t>
        </is>
      </c>
      <c r="D26" s="29" t="inlineStr">
        <is>
          <t>Narziqulov Sirojiddin</t>
        </is>
      </c>
      <c r="E26" s="27">
        <f>Сводка!$B$5</f>
        <v/>
      </c>
      <c r="F26" s="28" t="n">
        <v>50</v>
      </c>
      <c r="G26" s="28" t="n">
        <v>195</v>
      </c>
      <c r="H26" s="26">
        <f>G26/E26</f>
        <v/>
      </c>
      <c r="I26" s="25">
        <f>E26-G26</f>
        <v/>
      </c>
      <c r="J26" s="24" t="inlineStr">
        <is>
          <t>norma doirasida</t>
        </is>
      </c>
    </row>
    <row r="27" ht="38.25" customHeight="1" s="44">
      <c r="A27" s="29" t="n">
        <v>22</v>
      </c>
      <c r="B27" s="33" t="inlineStr">
        <is>
          <t>MOLIYA-IQTISOD VA KO‘RGAZMA-TADBIRLARNI MOLIYALASHTIRISH BOSHQARMASI</t>
        </is>
      </c>
      <c r="C27" s="29" t="inlineStr">
        <is>
          <t>Boshqarma boshlig‘i</t>
        </is>
      </c>
      <c r="D27" s="29" t="inlineStr">
        <is>
          <t>Qarshiyev In’om</t>
        </is>
      </c>
      <c r="E27" s="27">
        <f>Сводка!$B$5</f>
        <v/>
      </c>
      <c r="F27" s="28" t="n">
        <v>53</v>
      </c>
      <c r="G27" s="28" t="n">
        <v>194</v>
      </c>
      <c r="H27" s="26">
        <f>G27/E27</f>
        <v/>
      </c>
      <c r="I27" s="25">
        <f>E27-G27</f>
        <v/>
      </c>
      <c r="J27" s="24" t="inlineStr">
        <is>
          <t>norma doirasida</t>
        </is>
      </c>
    </row>
    <row r="28" ht="38.25" customHeight="1" s="44">
      <c r="A28" s="29" t="n">
        <v>23</v>
      </c>
      <c r="B28" s="33" t="inlineStr">
        <is>
          <t>KOMPLAENS NAZORATI VA ICHKI AUDIT BO‘YICHA BOSH MUTAXASSIS</t>
        </is>
      </c>
      <c r="C28" s="29" t="inlineStr">
        <is>
          <t>Bosh mutaxassis</t>
        </is>
      </c>
      <c r="D28" s="29" t="inlineStr">
        <is>
          <t>Sultanova Maxbuba</t>
        </is>
      </c>
      <c r="E28" s="27">
        <f>Сводка!$B$5</f>
        <v/>
      </c>
      <c r="F28" s="28" t="n">
        <v>51</v>
      </c>
      <c r="G28" s="28" t="n">
        <v>220</v>
      </c>
      <c r="H28" s="26">
        <f>G28/E28</f>
        <v/>
      </c>
      <c r="I28" s="25">
        <f>E28-G28</f>
        <v/>
      </c>
      <c r="J28" s="24" t="inlineStr">
        <is>
          <t>norma doirasida</t>
        </is>
      </c>
    </row>
    <row r="29" ht="38.25" customHeight="1" s="44">
      <c r="A29" s="29" t="n">
        <v>24</v>
      </c>
      <c r="B29" s="33" t="inlineStr">
        <is>
          <t>MOLIYA-IQTISOD VA KO‘RGAZMA-TADBIRLARNI MOLIYALASHTIRISH BOSHQARMASI</t>
        </is>
      </c>
      <c r="C29" s="29" t="inlineStr">
        <is>
          <t>Bosh mutaxassis</t>
        </is>
      </c>
      <c r="D29" s="29" t="inlineStr">
        <is>
          <t>Eshniyozov Rustambek</t>
        </is>
      </c>
      <c r="E29" s="27">
        <f>Сводка!$B$5</f>
        <v/>
      </c>
      <c r="F29" s="28" t="n">
        <v>59</v>
      </c>
      <c r="G29" s="28" t="n">
        <v>212</v>
      </c>
      <c r="H29" s="26">
        <f>G29/E29</f>
        <v/>
      </c>
      <c r="I29" s="25">
        <f>E29-G29</f>
        <v/>
      </c>
      <c r="J29" s="24" t="inlineStr">
        <is>
          <t>norma doirasida</t>
        </is>
      </c>
    </row>
    <row r="30" ht="38.25" customHeight="1" s="44">
      <c r="A30" s="29" t="n">
        <v>25</v>
      </c>
      <c r="B30" s="33" t="inlineStr">
        <is>
          <t>MOLIYA-IQTISOD VA KO‘RGAZMA-TADBIRLARNI MOLIYALASHTIRISH BOSHQARMASI</t>
        </is>
      </c>
      <c r="C30" s="29" t="inlineStr">
        <is>
          <t>Bosh mutaxassis</t>
        </is>
      </c>
      <c r="D30" s="29" t="inlineStr">
        <is>
          <t>Meliyev Baxtiyor</t>
        </is>
      </c>
      <c r="E30" s="27">
        <f>Сводка!$B$5</f>
        <v/>
      </c>
      <c r="F30" s="28" t="n">
        <v>51</v>
      </c>
      <c r="G30" s="28" t="n">
        <v>217</v>
      </c>
      <c r="H30" s="26">
        <f>G30/E30</f>
        <v/>
      </c>
      <c r="I30" s="25">
        <f>E30-G30</f>
        <v/>
      </c>
      <c r="J30" s="24" t="inlineStr">
        <is>
          <t>norma doirasida</t>
        </is>
      </c>
    </row>
    <row r="31" ht="38.25" customHeight="1" s="44">
      <c r="A31" s="29" t="n">
        <v>26</v>
      </c>
      <c r="B31" s="33" t="inlineStr">
        <is>
          <t>MOLIYA-IQTISOD VA KO‘RGAZMA-TADBIRLARNI MOLIYALASHTIRISH BOSHQARMASI</t>
        </is>
      </c>
      <c r="C31" s="29" t="inlineStr">
        <is>
          <t>Bosh mutaxassis</t>
        </is>
      </c>
      <c r="D31" s="29" t="inlineStr">
        <is>
          <t>Yaxshiboyev Ulug‘bek</t>
        </is>
      </c>
      <c r="E31" s="27">
        <f>Сводка!$B$5</f>
        <v/>
      </c>
      <c r="F31" s="28" t="n">
        <v>49</v>
      </c>
      <c r="G31" s="28" t="n">
        <v>205</v>
      </c>
      <c r="H31" s="26">
        <f>G31/E31</f>
        <v/>
      </c>
      <c r="I31" s="25">
        <f>E31-G31</f>
        <v/>
      </c>
      <c r="J31" s="24" t="inlineStr">
        <is>
          <t>norma doirasida</t>
        </is>
      </c>
    </row>
    <row r="32" ht="38.25" customHeight="1" s="44">
      <c r="A32" s="29" t="n">
        <v>27</v>
      </c>
      <c r="B32" s="33" t="inlineStr">
        <is>
          <t>MOLIYA-IQTISOD VA KO‘RGAZMA-TADBIRLARNI MOLIYALASHTIRISH BOSHQARMASI</t>
        </is>
      </c>
      <c r="C32" s="29" t="inlineStr">
        <is>
          <t>Yetakchi mutaxassis</t>
        </is>
      </c>
      <c r="D32" s="29" t="inlineStr">
        <is>
          <t>Abdullayev Abbos</t>
        </is>
      </c>
      <c r="E32" s="27">
        <f>Сводка!$B$5</f>
        <v/>
      </c>
      <c r="F32" s="28" t="n">
        <v>60</v>
      </c>
      <c r="G32" s="28" t="n">
        <v>214</v>
      </c>
      <c r="H32" s="26">
        <f>G32/E32</f>
        <v/>
      </c>
      <c r="I32" s="25">
        <f>E32-G32</f>
        <v/>
      </c>
      <c r="J32" s="24" t="inlineStr">
        <is>
          <t>norma doirasida</t>
        </is>
      </c>
    </row>
    <row r="33" ht="38.25" customHeight="1" s="44">
      <c r="A33" s="29" t="n">
        <v>28</v>
      </c>
      <c r="B33" s="33" t="inlineStr">
        <is>
          <t>RAHBARIYAT</t>
        </is>
      </c>
      <c r="C33" s="29" t="inlineStr">
        <is>
          <t>Maslahatchi</t>
        </is>
      </c>
      <c r="D33" s="29" t="inlineStr">
        <is>
          <t>Atayeva Ogulnur</t>
        </is>
      </c>
      <c r="E33" s="27">
        <f>Сводка!$B$5</f>
        <v/>
      </c>
      <c r="F33" s="28" t="n">
        <v>50</v>
      </c>
      <c r="G33" s="28" t="n">
        <v>215</v>
      </c>
      <c r="H33" s="26">
        <f>G33/E33</f>
        <v/>
      </c>
      <c r="I33" s="25">
        <f>E33-G33</f>
        <v/>
      </c>
      <c r="J33" s="24" t="inlineStr">
        <is>
          <t>norma doirasida</t>
        </is>
      </c>
    </row>
    <row r="34" ht="38.25" customHeight="1" s="44">
      <c r="A34" s="29" t="n">
        <v>29</v>
      </c>
      <c r="B34" s="33" t="inlineStr">
        <is>
          <t>RAHBARIYAT</t>
        </is>
      </c>
      <c r="C34" s="29" t="inlineStr">
        <is>
          <t>Kotib</t>
        </is>
      </c>
      <c r="D34" s="29" t="inlineStr">
        <is>
          <t>Ergashev Farrux</t>
        </is>
      </c>
      <c r="E34" s="27">
        <f>Сводка!$B$5</f>
        <v/>
      </c>
      <c r="F34" s="28" t="n">
        <v>57</v>
      </c>
      <c r="G34" s="28" t="n">
        <v>220</v>
      </c>
      <c r="H34" s="26">
        <f>G34/E34</f>
        <v/>
      </c>
      <c r="I34" s="25">
        <f>E34-G34</f>
        <v/>
      </c>
      <c r="J34" s="24" t="inlineStr">
        <is>
          <t>norma doirasida</t>
        </is>
      </c>
    </row>
    <row r="35">
      <c r="A35" s="29" t="n">
        <v>30</v>
      </c>
      <c r="B35" s="33" t="inlineStr">
        <is>
          <t>RAHBARIYAT</t>
        </is>
      </c>
      <c r="C35" s="29" t="inlineStr">
        <is>
          <t>Kotiba</t>
        </is>
      </c>
      <c r="D35" s="29" t="inlineStr">
        <is>
          <t>Xamrakulova Shaira</t>
        </is>
      </c>
      <c r="E35" s="27">
        <f>Сводка!$B$5</f>
        <v/>
      </c>
      <c r="F35" s="28" t="n">
        <v>55</v>
      </c>
      <c r="G35" s="28" t="n">
        <v>218</v>
      </c>
      <c r="H35" s="26">
        <f>G35/E35</f>
        <v/>
      </c>
      <c r="I35" s="25">
        <f>E35-G35</f>
        <v/>
      </c>
      <c r="J35" s="24" t="inlineStr">
        <is>
          <t>norma doirasida</t>
        </is>
      </c>
    </row>
    <row r="36">
      <c r="A36" s="29" t="n">
        <v>31</v>
      </c>
      <c r="B36" s="33" t="inlineStr">
        <is>
          <t>RAHBARIYAT</t>
        </is>
      </c>
      <c r="C36" s="29" t="inlineStr">
        <is>
          <t>Matbuot kotibi</t>
        </is>
      </c>
      <c r="D36" s="29" t="inlineStr">
        <is>
          <t>Xolliyev Ozodbek</t>
        </is>
      </c>
      <c r="E36" s="27">
        <f>Сводка!$B$5</f>
        <v/>
      </c>
      <c r="F36" s="28" t="n">
        <v>53</v>
      </c>
      <c r="G36" s="28" t="n">
        <v>193</v>
      </c>
      <c r="H36" s="26">
        <f>G36/E36</f>
        <v/>
      </c>
      <c r="I36" s="25">
        <f>E36-G36</f>
        <v/>
      </c>
      <c r="J36" s="24" t="inlineStr">
        <is>
          <t>norma doirasida</t>
        </is>
      </c>
    </row>
    <row r="37" ht="38.25" customHeight="1" s="44">
      <c r="A37" s="29" t="n">
        <v>32</v>
      </c>
      <c r="B37" s="33" t="inlineStr">
        <is>
          <t>RAQAMLASHTIRISH VA SOHA KORXONALARIGA AXBOROT TEXNOLOGIYALARINI JORIY QILISH BO‘LIMI</t>
        </is>
      </c>
      <c r="C37" s="29" t="inlineStr">
        <is>
          <t>Bo‘lim boshlig‘i</t>
        </is>
      </c>
      <c r="D37" s="29" t="inlineStr">
        <is>
          <t>Axmedov Azizbek</t>
        </is>
      </c>
      <c r="E37" s="27">
        <f>Сводка!$B$5</f>
        <v/>
      </c>
      <c r="F37" s="28" t="n">
        <v>50</v>
      </c>
      <c r="G37" s="28" t="n">
        <v>210</v>
      </c>
      <c r="H37" s="26">
        <f>G37/E37</f>
        <v/>
      </c>
      <c r="I37" s="25">
        <f>E37-G37</f>
        <v/>
      </c>
      <c r="J37" s="24" t="inlineStr">
        <is>
          <t>norma doirasida</t>
        </is>
      </c>
    </row>
    <row r="38" ht="38.25" customHeight="1" s="44">
      <c r="A38" s="29" t="n">
        <v>33</v>
      </c>
      <c r="B38" s="33" t="inlineStr">
        <is>
          <t>RAQAMLASHTIRISH VA SOHA KORXONALARIGA AXBOROT TEXNOLOGIYALARINI JORIY QILISH BO‘LIMI</t>
        </is>
      </c>
      <c r="C38" s="29" t="inlineStr">
        <is>
          <t>Bosh mutaxassis</t>
        </is>
      </c>
      <c r="D38" s="29" t="inlineStr">
        <is>
          <t>Soibov Rizobek</t>
        </is>
      </c>
      <c r="E38" s="27">
        <f>Сводка!$B$5</f>
        <v/>
      </c>
      <c r="F38" s="28" t="n">
        <v>55</v>
      </c>
      <c r="G38" s="28" t="n">
        <v>198</v>
      </c>
      <c r="H38" s="26">
        <f>G38/E38</f>
        <v/>
      </c>
      <c r="I38" s="25">
        <f>E38-G38</f>
        <v/>
      </c>
      <c r="J38" s="24" t="inlineStr">
        <is>
          <t>norma doirasida</t>
        </is>
      </c>
    </row>
    <row r="39" ht="38.25" customHeight="1" s="44">
      <c r="A39" s="29" t="n">
        <v>34</v>
      </c>
      <c r="B39" s="33" t="inlineStr">
        <is>
          <t>RAQAMLASHTIRISH VA SOHA KORXONALARIGA AXBOROT TEXNOLOGIYALARINI JORIY QILISH BO‘LIMI</t>
        </is>
      </c>
      <c r="C39" s="29" t="inlineStr">
        <is>
          <t>Kompyuter texnikasiga texnik xizmat ko'rsatish texnigi</t>
        </is>
      </c>
      <c r="D39" s="29" t="inlineStr">
        <is>
          <t>Solijonov Sarvar</t>
        </is>
      </c>
      <c r="E39" s="27">
        <f>Сводка!$B$5</f>
        <v/>
      </c>
      <c r="F39" s="28" t="n">
        <v>55</v>
      </c>
      <c r="G39" s="28" t="n">
        <v>195</v>
      </c>
      <c r="H39" s="26">
        <f>G39/E39</f>
        <v/>
      </c>
      <c r="I39" s="25">
        <f>E39-G39</f>
        <v/>
      </c>
      <c r="J39" s="24" t="inlineStr">
        <is>
          <t>norma doirasida</t>
        </is>
      </c>
    </row>
    <row r="40" ht="38.25" customHeight="1" s="44">
      <c r="A40" s="29" t="n">
        <v>35</v>
      </c>
      <c r="B40" s="33" t="inlineStr">
        <is>
          <t>STRATEGIK REJALASHTIRISH, AXBOROT-TAHLIL VA XALQARO HAMKORLIK BOSHQARMASI</t>
        </is>
      </c>
      <c r="C40" s="29" t="inlineStr">
        <is>
          <t>Bosh mutaxassis</t>
        </is>
      </c>
      <c r="D40" s="29" t="inlineStr">
        <is>
          <t>Axundjanov Xumoyunmirzo</t>
        </is>
      </c>
      <c r="E40" s="27">
        <f>Сводка!$B$5</f>
        <v/>
      </c>
      <c r="F40" s="28" t="n">
        <v>55</v>
      </c>
      <c r="G40" s="28" t="n">
        <v>196</v>
      </c>
      <c r="H40" s="26">
        <f>G40/E40</f>
        <v/>
      </c>
      <c r="I40" s="25">
        <f>E40-G40</f>
        <v/>
      </c>
      <c r="J40" s="24" t="inlineStr">
        <is>
          <t>norma doirasida</t>
        </is>
      </c>
    </row>
    <row r="41" ht="38.25" customHeight="1" s="44">
      <c r="A41" s="29" t="n">
        <v>36</v>
      </c>
      <c r="B41" s="33" t="inlineStr">
        <is>
          <t>STRATEGIK REJALASHTIRISH, AXBOROT-TAHLIL VA XALQARO HAMKORLIK BOSHQARMASI</t>
        </is>
      </c>
      <c r="C41" s="29" t="inlineStr">
        <is>
          <t>Bosh mutaxassis</t>
        </is>
      </c>
      <c r="D41" s="29" t="inlineStr">
        <is>
          <t>Ergashev Mirzabek</t>
        </is>
      </c>
      <c r="E41" s="27">
        <f>Сводка!$B$5</f>
        <v/>
      </c>
      <c r="F41" s="28" t="n">
        <v>49</v>
      </c>
      <c r="G41" s="28" t="n">
        <v>205</v>
      </c>
      <c r="H41" s="26">
        <f>G41/E41</f>
        <v/>
      </c>
      <c r="I41" s="25">
        <f>E41-G41</f>
        <v/>
      </c>
      <c r="J41" s="24" t="inlineStr">
        <is>
          <t>norma doirasida</t>
        </is>
      </c>
    </row>
    <row r="42" ht="38.25" customHeight="1" s="44">
      <c r="A42" s="29" t="n">
        <v>37</v>
      </c>
      <c r="B42" s="33" t="inlineStr">
        <is>
          <t>STRATEGIK REJALASHTIRISH, AXBOROT-TAHLIL VA XALQARO HAMKORLIK BOSHQARMASI</t>
        </is>
      </c>
      <c r="C42" s="29" t="inlineStr">
        <is>
          <t>Bosh mutaxassis</t>
        </is>
      </c>
      <c r="D42" s="29" t="inlineStr">
        <is>
          <t>Madraximov Baxtiyorjon</t>
        </is>
      </c>
      <c r="E42" s="27">
        <f>Сводка!$B$5</f>
        <v/>
      </c>
      <c r="F42" s="28" t="n">
        <v>51</v>
      </c>
      <c r="G42" s="28" t="n">
        <v>203</v>
      </c>
      <c r="H42" s="26">
        <f>G42/E42</f>
        <v/>
      </c>
      <c r="I42" s="25">
        <f>E42-G42</f>
        <v/>
      </c>
      <c r="J42" s="24" t="inlineStr">
        <is>
          <t>norma doirasida</t>
        </is>
      </c>
    </row>
    <row r="43" ht="25.5" customHeight="1" s="44">
      <c r="A43" s="29" t="n">
        <v>38</v>
      </c>
      <c r="B43" s="33" t="inlineStr">
        <is>
          <t>STRATEGIK REJALASHTIRISH, AXBOROT-TAHLIL VA XALQARO HAMKORLIK BOSHQARMASI</t>
        </is>
      </c>
      <c r="C43" s="29" t="inlineStr">
        <is>
          <t>Bosh mutaxassis</t>
        </is>
      </c>
      <c r="D43" s="29" t="inlineStr">
        <is>
          <t>Norqulov Baxriddin</t>
        </is>
      </c>
      <c r="E43" s="27">
        <f>Сводка!$B$5</f>
        <v/>
      </c>
      <c r="F43" s="28" t="n">
        <v>52</v>
      </c>
      <c r="G43" s="28" t="n">
        <v>205</v>
      </c>
      <c r="H43" s="26">
        <f>G43/E43</f>
        <v/>
      </c>
      <c r="I43" s="25">
        <f>E43-G43</f>
        <v/>
      </c>
      <c r="J43" s="24" t="inlineStr">
        <is>
          <t>norma doirasida</t>
        </is>
      </c>
    </row>
    <row r="44" ht="25.5" customHeight="1" s="44">
      <c r="A44" s="29" t="n">
        <v>39</v>
      </c>
      <c r="B44" s="33" t="inlineStr">
        <is>
          <t>STRATEGIK REJALASHTIRISH, AXBOROT-TAHLIL VA XALQARO HAMKORLIK BOSHQARMASI</t>
        </is>
      </c>
      <c r="C44" s="29" t="inlineStr">
        <is>
          <t>Bosh mutaxassis</t>
        </is>
      </c>
      <c r="D44" s="29" t="inlineStr">
        <is>
          <t>Xazratqulova Marhabo</t>
        </is>
      </c>
      <c r="E44" s="27">
        <f>Сводка!$B$5</f>
        <v/>
      </c>
      <c r="F44" s="28" t="n">
        <v>57</v>
      </c>
      <c r="G44" s="28" t="n">
        <v>214</v>
      </c>
      <c r="H44" s="26">
        <f>G44/E44</f>
        <v/>
      </c>
      <c r="I44" s="25">
        <f>E44-G44</f>
        <v/>
      </c>
      <c r="J44" s="24" t="inlineStr">
        <is>
          <t>norma doirasida</t>
        </is>
      </c>
    </row>
    <row r="45" ht="25.5" customHeight="1" s="44">
      <c r="A45" s="29" t="n">
        <v>40</v>
      </c>
      <c r="B45" s="33" t="inlineStr">
        <is>
          <t>TEXNOLOGIYALARNI MODERNIZATSIYA QILISH, INNOVATSIYA VA INVESTITSIYA LOYIHALARI BOSHQARMASI</t>
        </is>
      </c>
      <c r="C45" s="29" t="inlineStr">
        <is>
          <t>Boshqarma boshlig‘i</t>
        </is>
      </c>
      <c r="D45" s="29" t="inlineStr">
        <is>
          <t>Abduraxmanov Shuxrat</t>
        </is>
      </c>
      <c r="E45" s="27">
        <f>Сводка!$B$5</f>
        <v/>
      </c>
      <c r="F45" s="28" t="n">
        <v>59</v>
      </c>
      <c r="G45" s="28" t="n">
        <v>219</v>
      </c>
      <c r="H45" s="26">
        <f>G45/E45</f>
        <v/>
      </c>
      <c r="I45" s="25">
        <f>E45-G45</f>
        <v/>
      </c>
      <c r="J45" s="24" t="inlineStr">
        <is>
          <t>norma doirasida</t>
        </is>
      </c>
    </row>
    <row r="46" ht="25.5" customHeight="1" s="44">
      <c r="A46" s="29" t="n">
        <v>41</v>
      </c>
      <c r="B46" s="33" t="inlineStr">
        <is>
          <t>TEXNOLOGIYALARNI MODERNIZATSIYA QILISH, INNOVATSIYA VA INVESTITSIYA LOYIHALARI BOSHQARMASI</t>
        </is>
      </c>
      <c r="C46" s="29" t="inlineStr">
        <is>
          <t>Boshqarma boshlig‘i</t>
        </is>
      </c>
      <c r="D46" s="29" t="inlineStr">
        <is>
          <t>Karimov Ulug'bek</t>
        </is>
      </c>
      <c r="E46" s="27">
        <f>Сводка!$B$5</f>
        <v/>
      </c>
      <c r="F46" s="28" t="n">
        <v>56</v>
      </c>
      <c r="G46" s="28" t="n">
        <v>198</v>
      </c>
      <c r="H46" s="26">
        <f>G46/E46</f>
        <v/>
      </c>
      <c r="I46" s="25">
        <f>E46-G46</f>
        <v/>
      </c>
      <c r="J46" s="24" t="inlineStr">
        <is>
          <t>norma doirasida</t>
        </is>
      </c>
    </row>
    <row r="47" ht="25.5" customHeight="1" s="44">
      <c r="A47" s="29" t="n">
        <v>42</v>
      </c>
      <c r="B47" s="33" t="inlineStr">
        <is>
          <t>TEXNOLOGIYALARNI MODERNIZATSIYA QILISH, INNOVATSIYA VA INVESTITSIYA LOYIHALARI BOSHQARMASI</t>
        </is>
      </c>
      <c r="C47" s="29" t="inlineStr">
        <is>
          <t>Boshqarma boshlig‘i o‘rinbosari</t>
        </is>
      </c>
      <c r="D47" s="29" t="inlineStr">
        <is>
          <t>Xaydarov Sarvar</t>
        </is>
      </c>
      <c r="E47" s="27">
        <f>Сводка!$B$5</f>
        <v/>
      </c>
      <c r="F47" s="28" t="n">
        <v>47</v>
      </c>
      <c r="G47" s="28" t="n">
        <v>200</v>
      </c>
      <c r="H47" s="26">
        <f>G47/E47</f>
        <v/>
      </c>
      <c r="I47" s="25">
        <f>E47-G47</f>
        <v/>
      </c>
      <c r="J47" s="24" t="inlineStr">
        <is>
          <t>norma doirasida</t>
        </is>
      </c>
    </row>
    <row r="48" ht="25.5" customHeight="1" s="44">
      <c r="A48" s="29" t="n">
        <v>43</v>
      </c>
      <c r="B48" s="33" t="inlineStr">
        <is>
          <t>TEXNOLOGIYALARNI MODERNIZATSIYA QILISH, INNOVATSIYA VA INVESTITSIYA LOYIHALARI BOSHQARMASI</t>
        </is>
      </c>
      <c r="C48" s="29" t="inlineStr">
        <is>
          <t>Bosh mutaxassis</t>
        </is>
      </c>
      <c r="D48" s="29" t="inlineStr">
        <is>
          <t>Baxtiyarov Shaxzod</t>
        </is>
      </c>
      <c r="E48" s="27">
        <f>Сводка!$B$5</f>
        <v/>
      </c>
      <c r="F48" s="28" t="n">
        <v>56</v>
      </c>
      <c r="G48" s="28" t="n">
        <v>206</v>
      </c>
      <c r="H48" s="26">
        <f>G48/E48</f>
        <v/>
      </c>
      <c r="I48" s="25">
        <f>E48-G48</f>
        <v/>
      </c>
      <c r="J48" s="24" t="inlineStr">
        <is>
          <t>norma doirasida</t>
        </is>
      </c>
    </row>
    <row r="49" ht="25.5" customHeight="1" s="44">
      <c r="A49" s="29" t="n">
        <v>44</v>
      </c>
      <c r="B49" s="33" t="inlineStr">
        <is>
          <t>TEXNOLOGIYALARNI MODERNIZATSIYA QILISH, INNOVATSIYA VA INVESTITSIYA LOYIHALARI BOSHQARMASI</t>
        </is>
      </c>
      <c r="C49" s="29" t="inlineStr">
        <is>
          <t>Bosh mutaxassis</t>
        </is>
      </c>
      <c r="D49" s="29" t="inlineStr">
        <is>
          <t>Qudratov Said</t>
        </is>
      </c>
      <c r="E49" s="27">
        <f>Сводка!$B$5</f>
        <v/>
      </c>
      <c r="F49" s="28" t="n">
        <v>54</v>
      </c>
      <c r="G49" s="28" t="n">
        <v>190</v>
      </c>
      <c r="H49" s="26">
        <f>G49/E49</f>
        <v/>
      </c>
      <c r="I49" s="25">
        <f>E49-G49</f>
        <v/>
      </c>
      <c r="J49" s="24" t="inlineStr">
        <is>
          <t>norma doirasida</t>
        </is>
      </c>
    </row>
    <row r="50" ht="38.25" customHeight="1" s="44">
      <c r="A50" s="29" t="n">
        <v>45</v>
      </c>
      <c r="B50" s="33" t="inlineStr">
        <is>
          <t>TEXNOLOGIYALARNI MODERNIZATSIYA QILISH, INNOVATSIYA VA INVESTITSIYA LOYIHALARI BOSHQARMASI</t>
        </is>
      </c>
      <c r="C50" s="29" t="inlineStr">
        <is>
          <t>Bosh mutaxassis</t>
        </is>
      </c>
      <c r="D50" s="29" t="inlineStr">
        <is>
          <t>Rahmatov Sherzod</t>
        </is>
      </c>
      <c r="E50" s="27">
        <f>Сводка!$B$5</f>
        <v/>
      </c>
      <c r="F50" s="28" t="n">
        <v>53</v>
      </c>
      <c r="G50" s="28" t="n">
        <v>213</v>
      </c>
      <c r="H50" s="26">
        <f>G50/E50</f>
        <v/>
      </c>
      <c r="I50" s="25">
        <f>E50-G50</f>
        <v/>
      </c>
      <c r="J50" s="24" t="inlineStr">
        <is>
          <t>norma doirasida</t>
        </is>
      </c>
    </row>
    <row r="51" ht="38.25" customHeight="1" s="44">
      <c r="A51" s="29" t="n">
        <v>46</v>
      </c>
      <c r="B51" s="33" t="inlineStr">
        <is>
          <t>TEXNOLOGIYALARNI MODERNIZATSIYA QILISH, INNOVATSIYA VA INVESTITSIYA LOYIHALARI BOSHQARMASI</t>
        </is>
      </c>
      <c r="C51" s="29" t="inlineStr">
        <is>
          <t>Bosh mutaxassis</t>
        </is>
      </c>
      <c r="D51" s="29" t="inlineStr">
        <is>
          <t>Xo‘jayev Sardor</t>
        </is>
      </c>
      <c r="E51" s="27">
        <f>Сводка!$B$5</f>
        <v/>
      </c>
      <c r="F51" s="28" t="n">
        <v>46</v>
      </c>
      <c r="G51" s="28" t="n">
        <v>192</v>
      </c>
      <c r="H51" s="26">
        <f>G51/E51</f>
        <v/>
      </c>
      <c r="I51" s="25">
        <f>E51-G51</f>
        <v/>
      </c>
      <c r="J51" s="24" t="inlineStr">
        <is>
          <t>norma doirasida</t>
        </is>
      </c>
    </row>
    <row r="52" ht="38.25" customHeight="1" s="44">
      <c r="A52" s="29" t="n">
        <v>47</v>
      </c>
      <c r="B52" s="33" t="inlineStr">
        <is>
          <t>YENGIL SANOAT SOHASIDA ISHLAB CHIQARISHNI TASHKIL ETISH VA KOOPERATSIYA BOSHQARMASI</t>
        </is>
      </c>
      <c r="C52" s="29" t="inlineStr">
        <is>
          <t>Boshqarma boshlig‘i</t>
        </is>
      </c>
      <c r="D52" s="29" t="inlineStr">
        <is>
          <t>Ruziyev Utkir</t>
        </is>
      </c>
      <c r="E52" s="27">
        <f>Сводка!$B$5</f>
        <v/>
      </c>
      <c r="F52" s="28" t="n">
        <v>61</v>
      </c>
      <c r="G52" s="28" t="n">
        <v>220</v>
      </c>
      <c r="H52" s="26">
        <f>G52/E52</f>
        <v/>
      </c>
      <c r="I52" s="25">
        <f>E52-G52</f>
        <v/>
      </c>
      <c r="J52" s="24" t="inlineStr">
        <is>
          <t>norma doirasida</t>
        </is>
      </c>
    </row>
    <row r="53" ht="38.25" customHeight="1" s="44">
      <c r="A53" s="29" t="n">
        <v>48</v>
      </c>
      <c r="B53" s="33" t="inlineStr">
        <is>
          <t>YENGIL SANOAT SOHASIDA ISHLAB CHIQARISHNI TASHKIL ETISH VA KOOPERATSIYA BOSHQARMASI</t>
        </is>
      </c>
      <c r="C53" s="29" t="inlineStr">
        <is>
          <t>Boshqarma boshlig‘i o‘rinbosari</t>
        </is>
      </c>
      <c r="D53" s="29" t="inlineStr">
        <is>
          <t>Zaxidov Mirsaid</t>
        </is>
      </c>
      <c r="E53" s="27">
        <f>Сводка!$B$5</f>
        <v/>
      </c>
      <c r="F53" s="28" t="n">
        <v>53</v>
      </c>
      <c r="G53" s="28" t="n">
        <v>215</v>
      </c>
      <c r="H53" s="26">
        <f>G53/E53</f>
        <v/>
      </c>
      <c r="I53" s="25">
        <f>E53-G53</f>
        <v/>
      </c>
      <c r="J53" s="24" t="inlineStr">
        <is>
          <t>norma doirasida</t>
        </is>
      </c>
    </row>
    <row r="54" ht="38.25" customHeight="1" s="44">
      <c r="A54" s="36" t="n">
        <v>49</v>
      </c>
      <c r="B54" s="37" t="inlineStr">
        <is>
          <t>YENGIL SANOAT SOHASIDA ISHLAB CHIQARISHNI TASHKIL ETISH VA KOOPERATSIYA BOSHQARMASI</t>
        </is>
      </c>
      <c r="C54" s="36" t="inlineStr">
        <is>
          <t>Bo‘lim boshlig‘i</t>
        </is>
      </c>
      <c r="D54" s="36" t="inlineStr">
        <is>
          <t>Isomiddinov Ibodullo</t>
        </is>
      </c>
      <c r="E54" s="38">
        <f>Сводка!$B$5</f>
        <v/>
      </c>
      <c r="F54" s="39" t="n">
        <v>60</v>
      </c>
      <c r="G54" s="39" t="n">
        <v>215</v>
      </c>
      <c r="H54" s="26">
        <f>G54/E54</f>
        <v/>
      </c>
      <c r="I54" s="40">
        <f>E54-G54</f>
        <v/>
      </c>
      <c r="J54" s="41" t="inlineStr">
        <is>
          <t>norma doirasida</t>
        </is>
      </c>
    </row>
    <row r="55" ht="38.25" customHeight="1" s="44">
      <c r="A55" s="36" t="n">
        <v>50</v>
      </c>
      <c r="B55" s="37" t="inlineStr">
        <is>
          <t>YENGIL SANOAT SOHASIDA ISHLAB CHIQARISHNI TASHKIL ETISH VA KOOPERATSIYA BOSHQARMASI</t>
        </is>
      </c>
      <c r="C55" s="36" t="inlineStr">
        <is>
          <t>Bosh mutaxassis</t>
        </is>
      </c>
      <c r="D55" s="36" t="inlineStr">
        <is>
          <t>Axadov Asror</t>
        </is>
      </c>
      <c r="E55" s="38">
        <f>Сводка!$B$5</f>
        <v/>
      </c>
      <c r="F55" s="39" t="n">
        <v>50</v>
      </c>
      <c r="G55" s="39" t="n">
        <v>197</v>
      </c>
      <c r="H55" s="26">
        <f>G55/E55</f>
        <v/>
      </c>
      <c r="I55" s="40">
        <f>E55-G55</f>
        <v/>
      </c>
      <c r="J55" s="41" t="inlineStr">
        <is>
          <t>norma doirasida</t>
        </is>
      </c>
    </row>
    <row r="56" ht="38.25" customHeight="1" s="44">
      <c r="A56" s="36" t="n">
        <v>51</v>
      </c>
      <c r="B56" s="37" t="inlineStr">
        <is>
          <t>YENGIL SANOAT SOHASIDA ISHLAB CHIQARISHNI TASHKIL ETISH VA KOOPERATSIYA BOSHQARMASI</t>
        </is>
      </c>
      <c r="C56" s="36" t="inlineStr">
        <is>
          <t>Bosh mutaxassis</t>
        </is>
      </c>
      <c r="D56" s="36" t="inlineStr">
        <is>
          <t>Bobokulov Sodiq</t>
        </is>
      </c>
      <c r="E56" s="38">
        <f>Сводка!$B$5</f>
        <v/>
      </c>
      <c r="F56" s="39" t="n">
        <v>61</v>
      </c>
      <c r="G56" s="39" t="n">
        <v>213</v>
      </c>
      <c r="H56" s="26">
        <f>G56/E56</f>
        <v/>
      </c>
      <c r="I56" s="40">
        <f>E56-G56</f>
        <v/>
      </c>
      <c r="J56" s="41" t="inlineStr">
        <is>
          <t>norma doirasida</t>
        </is>
      </c>
    </row>
    <row r="57" ht="38.25" customHeight="1" s="44">
      <c r="A57" s="36" t="n">
        <v>52</v>
      </c>
      <c r="B57" s="37" t="inlineStr">
        <is>
          <t>YENGIL SANOAT SOHASIDA ISHLAB CHIQARISHNI TASHKIL ETISH VA KOOPERATSIYA BOSHQARMASI</t>
        </is>
      </c>
      <c r="C57" s="36" t="inlineStr">
        <is>
          <t>Bosh mutaxassis</t>
        </is>
      </c>
      <c r="D57" s="36" t="inlineStr">
        <is>
          <t>Ibroximov Otabek</t>
        </is>
      </c>
      <c r="E57" s="38">
        <f>Сводка!$B$5</f>
        <v/>
      </c>
      <c r="F57" s="39" t="n">
        <v>53</v>
      </c>
      <c r="G57" s="39" t="n">
        <v>210</v>
      </c>
      <c r="H57" s="26">
        <f>G57/E57</f>
        <v/>
      </c>
      <c r="I57" s="40">
        <f>E57-G57</f>
        <v/>
      </c>
      <c r="J57" s="41" t="inlineStr">
        <is>
          <t>norma doirasida</t>
        </is>
      </c>
    </row>
    <row r="58" ht="38.25" customHeight="1" s="44">
      <c r="A58" s="36" t="n">
        <v>53</v>
      </c>
      <c r="B58" s="37" t="inlineStr">
        <is>
          <t>YENGIL SANOAT SOHASIDA ISHLAB CHIQARISHNI TASHKIL ETISH VA KOOPERATSIYA BOSHQARMASI</t>
        </is>
      </c>
      <c r="C58" s="36" t="inlineStr">
        <is>
          <t>Bosh mutaxassis</t>
        </is>
      </c>
      <c r="D58" s="36" t="inlineStr">
        <is>
          <t>Istamov Firdavs</t>
        </is>
      </c>
      <c r="E58" s="38">
        <f>Сводка!$B$5</f>
        <v/>
      </c>
      <c r="F58" s="39" t="n">
        <v>58</v>
      </c>
      <c r="G58" s="39" t="n">
        <v>219</v>
      </c>
      <c r="H58" s="26">
        <f>G58/E58</f>
        <v/>
      </c>
      <c r="I58" s="40">
        <f>E58-G58</f>
        <v/>
      </c>
      <c r="J58" s="41" t="inlineStr">
        <is>
          <t>norma doirasida</t>
        </is>
      </c>
    </row>
    <row r="59" ht="38.25" customHeight="1" s="44">
      <c r="A59" s="36" t="n">
        <v>54</v>
      </c>
      <c r="B59" s="37" t="inlineStr">
        <is>
          <t>YENGIL SANOAT SOHASIDA ISHLAB CHIQARISHNI TASHKIL ETISH VA KOOPERATSIYA BOSHQARMASI</t>
        </is>
      </c>
      <c r="C59" s="36" t="inlineStr">
        <is>
          <t>Bosh mutaxassis</t>
        </is>
      </c>
      <c r="D59" s="36" t="inlineStr">
        <is>
          <t>Nasibboyev Fazliddin</t>
        </is>
      </c>
      <c r="E59" s="38">
        <f>Сводка!$B$5</f>
        <v/>
      </c>
      <c r="F59" s="39" t="n">
        <v>56</v>
      </c>
      <c r="G59" s="39" t="n">
        <v>214</v>
      </c>
      <c r="H59" s="26">
        <f>G59/E59</f>
        <v/>
      </c>
      <c r="I59" s="40">
        <f>E59-G59</f>
        <v/>
      </c>
      <c r="J59" s="41" t="inlineStr">
        <is>
          <t>norma doirasida</t>
        </is>
      </c>
    </row>
    <row r="60" ht="38.25" customHeight="1" s="44">
      <c r="A60" s="36" t="n">
        <v>55</v>
      </c>
      <c r="B60" s="37" t="inlineStr">
        <is>
          <t>YURIDIK BO'LIM</t>
        </is>
      </c>
      <c r="C60" s="36" t="inlineStr">
        <is>
          <t>Boshqarma boshlig‘i</t>
        </is>
      </c>
      <c r="D60" s="36" t="inlineStr">
        <is>
          <t>Tursunov Jahongir</t>
        </is>
      </c>
      <c r="E60" s="38">
        <f>Сводка!$B$5</f>
        <v/>
      </c>
      <c r="F60" s="39" t="n">
        <v>60</v>
      </c>
      <c r="G60" s="39" t="n">
        <v>211</v>
      </c>
      <c r="H60" s="26">
        <f>G60/E60</f>
        <v/>
      </c>
      <c r="I60" s="40">
        <f>E60-G60</f>
        <v/>
      </c>
      <c r="J60" s="41" t="inlineStr">
        <is>
          <t>norma doirasida</t>
        </is>
      </c>
    </row>
    <row r="61" ht="38.25" customHeight="1" s="44">
      <c r="A61" s="36" t="n">
        <v>56</v>
      </c>
      <c r="B61" s="37" t="inlineStr">
        <is>
          <t>YURIDIK BO'LIM</t>
        </is>
      </c>
      <c r="C61" s="36" t="inlineStr">
        <is>
          <t>Bosh mutaxassis</t>
        </is>
      </c>
      <c r="D61" s="36" t="inlineStr">
        <is>
          <t>Pulatov Kamron</t>
        </is>
      </c>
      <c r="E61" s="38">
        <f>Сводка!$B$5</f>
        <v/>
      </c>
      <c r="F61" s="39" t="n">
        <v>53</v>
      </c>
      <c r="G61" s="39" t="n">
        <v>203</v>
      </c>
      <c r="H61" s="26">
        <f>G61/E61</f>
        <v/>
      </c>
      <c r="I61" s="40">
        <f>E61-G61</f>
        <v/>
      </c>
      <c r="J61" s="41" t="inlineStr">
        <is>
          <t>norma doirasida</t>
        </is>
      </c>
    </row>
    <row r="62" ht="38.25" customHeight="1" s="44">
      <c r="A62" s="36" t="n">
        <v>57</v>
      </c>
      <c r="B62" s="37" t="inlineStr">
        <is>
          <t>YENGIL SANOAT KORXONALARI FAOLIYATI SAMARADORLIGI TAHLILI BO‘LIMI</t>
        </is>
      </c>
      <c r="C62" s="36" t="inlineStr">
        <is>
          <t>Bosh mutaxassis</t>
        </is>
      </c>
      <c r="D62" s="36" t="inlineStr">
        <is>
          <t>Yoqubov Azizbek</t>
        </is>
      </c>
      <c r="E62" s="38">
        <f>Сводка!$B$5</f>
        <v/>
      </c>
      <c r="F62" s="39" t="n">
        <v>63</v>
      </c>
      <c r="G62" s="39" t="n">
        <v>217</v>
      </c>
      <c r="H62" s="26">
        <f>G62/E62</f>
        <v/>
      </c>
      <c r="I62" s="40">
        <f>E62-G62</f>
        <v/>
      </c>
      <c r="J62" s="41" t="inlineStr">
        <is>
          <t>norma doirasida</t>
        </is>
      </c>
    </row>
    <row r="63" ht="38.25" customHeight="1" s="44">
      <c r="A63" s="36" t="n">
        <v>58</v>
      </c>
      <c r="B63" s="37" t="inlineStr">
        <is>
          <t>LOYIHA OFISI</t>
        </is>
      </c>
      <c r="C63" s="36" t="inlineStr">
        <is>
          <t>Bosh mutaxassis</t>
        </is>
      </c>
      <c r="D63" s="36" t="inlineStr">
        <is>
          <t>Abdiraufova Marjona</t>
        </is>
      </c>
      <c r="E63" s="38">
        <f>Сводка!$B$5</f>
        <v/>
      </c>
      <c r="F63" s="39" t="n">
        <v>51</v>
      </c>
      <c r="G63" s="39" t="n">
        <v>190</v>
      </c>
      <c r="H63" s="26">
        <f>G63/E63</f>
        <v/>
      </c>
      <c r="I63" s="40">
        <f>E63-G63</f>
        <v/>
      </c>
      <c r="J63" s="41" t="inlineStr">
        <is>
          <t>norma doirasida</t>
        </is>
      </c>
    </row>
    <row r="64" ht="38.25" customHeight="1" s="44">
      <c r="A64" s="36" t="n">
        <v>59</v>
      </c>
      <c r="B64" s="37" t="inlineStr">
        <is>
          <t>LOYIHA OFISI</t>
        </is>
      </c>
      <c r="C64" s="36" t="inlineStr">
        <is>
          <t>Bosh mutaxassis</t>
        </is>
      </c>
      <c r="D64" s="36" t="inlineStr">
        <is>
          <t>Timirov Sherzod</t>
        </is>
      </c>
      <c r="E64" s="38">
        <f>Сводка!$B$5</f>
        <v/>
      </c>
      <c r="F64" s="39" t="n">
        <v>54</v>
      </c>
      <c r="G64" s="39" t="n">
        <v>207</v>
      </c>
      <c r="H64" s="26">
        <f>G64/E64</f>
        <v/>
      </c>
      <c r="I64" s="40">
        <f>E64-G64</f>
        <v/>
      </c>
      <c r="J64" s="41" t="inlineStr">
        <is>
          <t>norma doirasida</t>
        </is>
      </c>
    </row>
    <row r="65" ht="38.25" customHeight="1" s="44">
      <c r="A65" s="36" t="n">
        <v>60</v>
      </c>
      <c r="B65" s="37" t="inlineStr">
        <is>
          <t>LOYIHA OFISI</t>
        </is>
      </c>
      <c r="C65" s="36" t="inlineStr">
        <is>
          <t>Bosh mutaxassis</t>
        </is>
      </c>
      <c r="D65" s="36" t="inlineStr">
        <is>
          <t>Zarifov Murodjon</t>
        </is>
      </c>
      <c r="E65" s="38">
        <f>Сводка!$B$5</f>
        <v/>
      </c>
      <c r="F65" s="39" t="n">
        <v>53</v>
      </c>
      <c r="G65" s="39" t="n">
        <v>209</v>
      </c>
      <c r="H65" s="26">
        <f>G65/E65</f>
        <v/>
      </c>
      <c r="I65" s="40">
        <f>E65-G65</f>
        <v/>
      </c>
      <c r="J65" s="41" t="inlineStr">
        <is>
          <t>norma doirasida</t>
        </is>
      </c>
    </row>
    <row r="66">
      <c r="A66" s="36" t="n">
        <v>61</v>
      </c>
      <c r="B66" s="37" t="inlineStr">
        <is>
          <t>STRATEGIK REJALASHTIRISH, AXBOROT-TAHLIL VA XALQARO HAMKORLIK BOSHQARMASI</t>
        </is>
      </c>
      <c r="C66" s="36" t="inlineStr">
        <is>
          <t>Bosh mutaxassis</t>
        </is>
      </c>
      <c r="D66" s="36" t="inlineStr">
        <is>
          <t>Ismonaliyev Fayzullo</t>
        </is>
      </c>
      <c r="E66" s="38">
        <f>Сводка!$B$5</f>
        <v/>
      </c>
      <c r="F66" s="39" t="n">
        <v>53</v>
      </c>
      <c r="G66" s="39" t="n">
        <v>216</v>
      </c>
      <c r="H66" s="26">
        <f>G66/E66</f>
        <v/>
      </c>
      <c r="I66" s="40">
        <f>E66-G66</f>
        <v/>
      </c>
      <c r="J66" s="41" t="inlineStr">
        <is>
          <t>norma doirasida</t>
        </is>
      </c>
    </row>
    <row r="67">
      <c r="A67" s="36" t="n"/>
      <c r="B67" s="37" t="n"/>
      <c r="C67" s="36" t="n"/>
      <c r="D67" s="36" t="inlineStr">
        <is>
          <t>JAMI</t>
        </is>
      </c>
      <c r="E67" s="38">
        <f>SUM(E6:E66)</f>
        <v/>
      </c>
      <c r="F67" s="39">
        <f>SUM(F6:F66)</f>
        <v/>
      </c>
      <c r="G67" s="39">
        <f>SUM(G6:G66)</f>
        <v/>
      </c>
      <c r="H67" s="26">
        <f>G67/E67</f>
        <v/>
      </c>
      <c r="I67" s="40">
        <f>SUM(I6:I66)</f>
        <v/>
      </c>
      <c r="J67" s="41" t="inlineStr">
        <is>
          <t>Normadan oshmagan</t>
        </is>
      </c>
    </row>
    <row r="68" ht="38.25" customHeight="1" s="44">
      <c r="A68" s="36" t="n"/>
      <c r="B68" s="37" t="n"/>
      <c r="C68" s="36" t="n"/>
      <c r="D68" s="36" t="n"/>
      <c r="E68" s="38" t="n"/>
      <c r="F68" s="39" t="n"/>
      <c r="G68" s="39" t="n"/>
      <c r="H68" s="26" t="n"/>
      <c r="I68" s="40" t="n"/>
      <c r="J68" s="41" t="n"/>
    </row>
    <row r="69">
      <c r="A69" s="36" t="n"/>
      <c r="B69" s="37" t="n"/>
      <c r="C69" s="36" t="n"/>
      <c r="D69" s="36" t="n"/>
      <c r="E69" s="38" t="n"/>
      <c r="F69" s="39" t="n"/>
      <c r="G69" s="39" t="n"/>
      <c r="H69" s="26" t="n"/>
      <c r="I69" s="40" t="n"/>
      <c r="J69" s="41" t="n"/>
    </row>
    <row r="70">
      <c r="A70" s="36" t="n"/>
      <c r="B70" s="37" t="n"/>
      <c r="C70" s="36" t="n"/>
      <c r="D70" s="36" t="n"/>
      <c r="E70" s="38" t="n"/>
      <c r="F70" s="39" t="n"/>
      <c r="G70" s="39" t="n"/>
      <c r="H70" s="26" t="n"/>
      <c r="I70" s="40" t="n"/>
      <c r="J70" s="41" t="n"/>
    </row>
    <row r="71">
      <c r="A71" s="36" t="n"/>
      <c r="B71" s="37" t="n"/>
      <c r="C71" s="36" t="n"/>
      <c r="D71" s="36" t="n"/>
      <c r="E71" s="38" t="n"/>
      <c r="F71" s="39" t="n"/>
      <c r="G71" s="39" t="n"/>
      <c r="H71" s="26" t="n"/>
      <c r="I71" s="40" t="n"/>
      <c r="J71" s="41" t="n"/>
    </row>
    <row r="72">
      <c r="A72" s="36" t="n"/>
      <c r="B72" s="37" t="inlineStr">
        <is>
          <t>Raqamlashtirish, SIni rivojlantirish va soha korxonalariga AKTni joriy qilish bo‘limi boshligʻi</t>
        </is>
      </c>
      <c r="C72" s="36" t="n"/>
      <c r="D72" s="36" t="n"/>
      <c r="E72" s="38" t="inlineStr">
        <is>
          <t>A.Axmedov</t>
        </is>
      </c>
      <c r="F72" s="39" t="n"/>
      <c r="G72" s="39" t="n"/>
      <c r="H72" s="26" t="n"/>
      <c r="I72" s="40" t="n"/>
      <c r="J72" s="41" t="n"/>
    </row>
    <row r="73" ht="30" customHeight="1" s="44">
      <c r="A73" s="30" t="n"/>
      <c r="B73" s="30" t="n"/>
      <c r="C73" s="30" t="n"/>
      <c r="D73" s="30" t="n"/>
      <c r="E73" s="31" t="n"/>
      <c r="F73" s="31" t="n"/>
      <c r="G73" s="31" t="n"/>
      <c r="H73" s="32" t="n"/>
      <c r="I73" s="31" t="n"/>
      <c r="J73" s="30" t="n"/>
    </row>
    <row r="74"/>
    <row r="75"/>
    <row r="76"/>
    <row r="77"/>
    <row r="78" ht="72" customHeight="1" s="44">
      <c r="B78" s="43" t="inlineStr">
        <is>
          <t>Raqamlashtirish, SIni rivojlantirish va soha korxonalariga AKTni joriy qilish bo‘limi boshligʻi</t>
        </is>
      </c>
      <c r="D78" s="34" t="n"/>
      <c r="E78" s="35" t="inlineStr">
        <is>
          <t>A.Axmedov</t>
        </is>
      </c>
    </row>
  </sheetData>
  <mergeCells count="5">
    <mergeCell ref="B78:C78"/>
    <mergeCell ref="A2:J2"/>
    <mergeCell ref="F1:J1"/>
    <mergeCell ref="A3:B3"/>
    <mergeCell ref="E3:F3"/>
  </mergeCells>
  <conditionalFormatting sqref="H6:H72">
    <cfRule type="dataBar" priority="1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</cfRule>
  </conditionalFormatting>
  <conditionalFormatting sqref="J6:J53">
    <cfRule type="expression" priority="2" dxfId="1">
      <formula>J6="Превышение"</formula>
    </cfRule>
    <cfRule type="expression" priority="3" dxfId="0">
      <formula>J6="В пределах нормы"</formula>
    </cfRule>
  </conditionalFormatting>
  <pageMargins left="0.25" right="0.25" top="0.75" bottom="0.75" header="0.3" footer="0.3"/>
  <pageSetup orientation="landscape" paperSize="9" scale="73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4.25"/>
  <cols>
    <col width="45" customWidth="1" style="44" min="1" max="1"/>
    <col width="85" customWidth="1" style="44" min="2" max="2"/>
    <col width="20" customWidth="1" style="44" min="4" max="4"/>
    <col width="16" customWidth="1" style="44" min="5" max="5"/>
  </cols>
  <sheetData>
    <row r="1" ht="27.95" customHeight="1" s="44">
      <c r="A1" s="48" t="inlineStr">
        <is>
          <t>KPI ОТЧЁТ ПО РАСПЕЧАТАННЫМ СТРАНИЦАМ ЗА ИЮЛЬ</t>
        </is>
      </c>
    </row>
    <row r="2" ht="15" customHeight="1" s="44">
      <c r="A2" s="2" t="inlineStr">
        <is>
          <t>Параметр</t>
        </is>
      </c>
      <c r="B2" s="3" t="inlineStr">
        <is>
          <t>Значение</t>
        </is>
      </c>
      <c r="D2" s="10" t="inlineStr">
        <is>
          <t>Показатель</t>
        </is>
      </c>
      <c r="E2" s="11" t="inlineStr">
        <is>
          <t>Страницы</t>
        </is>
      </c>
    </row>
    <row r="3" ht="15" customHeight="1" s="44">
      <c r="A3" s="4" t="inlineStr">
        <is>
          <t>Отчётный период</t>
        </is>
      </c>
      <c r="B3" s="5" t="inlineStr">
        <is>
          <t>Июль</t>
        </is>
      </c>
      <c r="D3" s="12" t="inlineStr">
        <is>
          <t>Факт</t>
        </is>
      </c>
      <c r="E3" s="13" t="n">
        <v>12620</v>
      </c>
    </row>
    <row r="4" ht="15" customHeight="1" s="44">
      <c r="A4" s="4" t="inlineStr">
        <is>
          <t>Количество сотрудников</t>
        </is>
      </c>
      <c r="B4" s="6" t="n">
        <v>61</v>
      </c>
      <c r="D4" s="12" t="inlineStr">
        <is>
          <t>Лимит по норме</t>
        </is>
      </c>
      <c r="E4" s="13" t="n">
        <v>13420</v>
      </c>
    </row>
    <row r="5" ht="15" customHeight="1" s="44">
      <c r="A5" s="4" t="inlineStr">
        <is>
          <t>Месячная норма на 1 сотрудника, страниц</t>
        </is>
      </c>
      <c r="B5" s="6" t="n">
        <v>220</v>
      </c>
      <c r="D5" s="14" t="inlineStr">
        <is>
          <t>Остаток лимита</t>
        </is>
      </c>
      <c r="E5" s="15">
        <f>E4-E3</f>
        <v/>
      </c>
    </row>
    <row r="6" ht="15" customHeight="1" s="44">
      <c r="A6" s="4" t="inlineStr">
        <is>
          <t>Общий лимит по норме, страниц</t>
        </is>
      </c>
      <c r="B6" s="6">
        <f>B4*B5</f>
        <v/>
      </c>
    </row>
    <row r="7" ht="15" customHeight="1" s="44">
      <c r="A7" s="4" t="inlineStr">
        <is>
          <t>Фактически распечатано всего, страниц</t>
        </is>
      </c>
      <c r="B7" s="6" t="n">
        <v>12620</v>
      </c>
    </row>
    <row r="8" ht="15" customHeight="1" s="44">
      <c r="A8" s="4" t="inlineStr">
        <is>
          <t>Остаток лимита, страниц</t>
        </is>
      </c>
      <c r="B8" s="6">
        <f>B6-B7</f>
        <v/>
      </c>
    </row>
    <row r="9" ht="15" customHeight="1" s="44">
      <c r="A9" s="4" t="inlineStr">
        <is>
          <t>Среднее количество страниц на сотрудника</t>
        </is>
      </c>
      <c r="B9" s="7">
        <f>B7/B4</f>
        <v/>
      </c>
    </row>
    <row r="10" ht="15" customHeight="1" s="44">
      <c r="A10" s="4" t="inlineStr">
        <is>
          <t>Среднее выполнение нормы</t>
        </is>
      </c>
      <c r="B10" s="7">
        <f>B9/B5</f>
        <v/>
      </c>
    </row>
    <row r="11" ht="15" customHeight="1" s="44">
      <c r="A11" s="4" t="inlineStr">
        <is>
          <t>Максимум страниц на 1 сотрудника в отчёте</t>
        </is>
      </c>
      <c r="B11" s="6">
        <f>MAX('KPI отчёт июль'!G6:G66)</f>
        <v/>
      </c>
    </row>
    <row r="12" ht="30" customHeight="1" s="44">
      <c r="A12" s="4" t="inlineStr">
        <is>
          <t>Количество сотрудников с превышением нормы</t>
        </is>
      </c>
      <c r="B12" s="6">
        <f>COUNTIF('KPI отчёт июль'!G6:G66,"&gt;"&amp;B5)</f>
        <v/>
      </c>
    </row>
    <row r="13" ht="15" customHeight="1" s="44">
      <c r="A13" s="4" t="inlineStr">
        <is>
          <t>Среднее количество страниц на 1 документ</t>
        </is>
      </c>
      <c r="B13" s="23">
        <f>B7/SUM('KPI отчёт июль'!F6:F66)</f>
        <v/>
      </c>
    </row>
    <row r="14" ht="43.5" customHeight="1" s="44">
      <c r="A14" s="8" t="inlineStr">
        <is>
          <t>Примечание</t>
        </is>
      </c>
      <c r="B14" s="9" t="inlineStr">
        <is>
          <t>Распределение страниц выполнено с разными индивидуальными показателями по сотрудникам. Общий итог — 12 620 страниц  месячная норма — 220 страниц на сотрудника  превышений нормы нет.</t>
        </is>
      </c>
    </row>
  </sheetData>
  <mergeCells count="1">
    <mergeCell ref="A1:B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4.25"/>
  <cols>
    <col width="12" customWidth="1" style="44" min="1" max="1"/>
    <col width="40" customWidth="1" style="44" min="2" max="2"/>
    <col width="36" customWidth="1" style="44" min="3" max="3"/>
    <col width="38" customWidth="1" style="44" min="4" max="4"/>
  </cols>
  <sheetData>
    <row r="1" ht="27.95" customHeight="1" s="44">
      <c r="A1" s="49" t="inlineStr">
        <is>
          <t>НОРМА И ИСХОДНЫЙ СПИСОК СОТРУДНИКОВ</t>
        </is>
      </c>
    </row>
    <row r="3" ht="15" customHeight="1" s="44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Отчётный месяц</t>
        </is>
      </c>
      <c r="B4" t="inlineStr">
        <is>
          <t>Июль</t>
        </is>
      </c>
    </row>
    <row r="5">
      <c r="A5" t="inlineStr">
        <is>
          <t>Норма печати</t>
        </is>
      </c>
      <c r="B5" t="n">
        <v>220</v>
      </c>
    </row>
    <row r="6">
      <c r="A6" t="inlineStr">
        <is>
          <t>Общее количество страниц</t>
        </is>
      </c>
      <c r="B6" t="n">
        <v>12620</v>
      </c>
    </row>
    <row r="7">
      <c r="A7" t="inlineStr">
        <is>
          <t>Количество сотрудников по списку</t>
        </is>
      </c>
      <c r="B7" t="n">
        <v>61</v>
      </c>
    </row>
    <row r="9" ht="15" customHeight="1" s="44">
      <c r="A9" s="10" t="inlineStr">
        <is>
          <t>№ по списку</t>
        </is>
      </c>
      <c r="B9" s="22" t="inlineStr">
        <is>
          <t>Подразделение</t>
        </is>
      </c>
      <c r="C9" s="22" t="inlineStr">
        <is>
          <t>Должность</t>
        </is>
      </c>
      <c r="D9" s="11" t="inlineStr">
        <is>
          <t>Ф.И.Ш.</t>
        </is>
      </c>
    </row>
    <row r="10" ht="42.75" customHeight="1" s="44">
      <c r="A10" s="18" t="n">
        <v>1</v>
      </c>
      <c r="B10" s="19" t="inlineStr">
        <is>
          <t>BIRINCHI BO‘LIM</t>
        </is>
      </c>
      <c r="C10" s="19" t="inlineStr">
        <is>
          <t>Bosh mutaxassis</t>
        </is>
      </c>
      <c r="D10" s="5" t="inlineStr">
        <is>
          <t>Shatursunova Zilola</t>
        </is>
      </c>
    </row>
    <row r="11" ht="42.75" customHeight="1" s="44">
      <c r="A11" s="18" t="n">
        <v>2</v>
      </c>
      <c r="B11" s="19" t="inlineStr">
        <is>
          <t>IJRO NAZORATI VA MUROJAATLAR BO'LIMI</t>
        </is>
      </c>
      <c r="C11" s="19" t="inlineStr">
        <is>
          <t>Boshqarma boshlig‘i</t>
        </is>
      </c>
      <c r="D11" s="5" t="inlineStr">
        <is>
          <t>Musayev Boburjon</t>
        </is>
      </c>
    </row>
    <row r="12" ht="42.75" customHeight="1" s="44">
      <c r="A12" s="18" t="n">
        <v>3</v>
      </c>
      <c r="B12" s="19" t="inlineStr">
        <is>
          <t>IJRO NAZORATI VA MUROJAATLAR BO'LIMI</t>
        </is>
      </c>
      <c r="C12" s="19" t="inlineStr">
        <is>
          <t>Yetakchi mutaxassis</t>
        </is>
      </c>
      <c r="D12" s="5" t="inlineStr">
        <is>
          <t>Saparova Gulshanbonu</t>
        </is>
      </c>
    </row>
    <row r="13">
      <c r="A13" s="18" t="n">
        <v>4</v>
      </c>
      <c r="B13" s="19" t="inlineStr">
        <is>
          <t>IJRO NAZORATI VA MUROJAATLAR BO'LIMI</t>
        </is>
      </c>
      <c r="C13" s="19" t="inlineStr">
        <is>
          <t>Ish yurituvchi</t>
        </is>
      </c>
      <c r="D13" s="5" t="inlineStr">
        <is>
          <t>Baxriddinov Shamshodbek</t>
        </is>
      </c>
    </row>
    <row r="14" ht="42.75" customHeight="1" s="44">
      <c r="A14" s="18" t="n">
        <v>5</v>
      </c>
      <c r="B14" s="19" t="inlineStr">
        <is>
          <t>INSON RESURSLARINI RIVOJLANTIRISH VA BOSHQARISH BO‘YICHA BOSH MUTAXASSIS</t>
        </is>
      </c>
      <c r="C14" s="19" t="inlineStr">
        <is>
          <t>Bosh mutaxassis</t>
        </is>
      </c>
      <c r="D14" s="5" t="inlineStr">
        <is>
          <t>Vapayeva Matlyuba</t>
        </is>
      </c>
    </row>
    <row r="15">
      <c r="A15" s="18" t="n">
        <v>6</v>
      </c>
      <c r="B15" s="19" t="inlineStr">
        <is>
          <t>ISHLAR BOSHQARMASI</t>
        </is>
      </c>
      <c r="C15" s="19" t="inlineStr">
        <is>
          <t>Bosh mutaxassis</t>
        </is>
      </c>
      <c r="D15" s="5" t="inlineStr">
        <is>
          <t>Bulanov Dilshodbek</t>
        </is>
      </c>
    </row>
    <row r="16" ht="28.5" customHeight="1" s="44">
      <c r="A16" s="18" t="n">
        <v>7</v>
      </c>
      <c r="B16" s="19" t="inlineStr">
        <is>
          <t>ISHLAR BOSHQARMASI</t>
        </is>
      </c>
      <c r="C16" s="19" t="inlineStr">
        <is>
          <t>Binolarga kompleks xizmat ko‘rsatish va ta‘mirlash bo‘yicha ishchi</t>
        </is>
      </c>
      <c r="D16" s="5" t="inlineStr">
        <is>
          <t>Mavlonov Akmal</t>
        </is>
      </c>
    </row>
    <row r="17">
      <c r="A17" s="18" t="n">
        <v>8</v>
      </c>
      <c r="B17" s="19" t="inlineStr">
        <is>
          <t>ISHLAR BOSHQARMASI</t>
        </is>
      </c>
      <c r="C17" s="19" t="inlineStr">
        <is>
          <t>Xo'jalik mudiri</t>
        </is>
      </c>
      <c r="D17" s="5" t="inlineStr">
        <is>
          <t>Primkulov Avaz</t>
        </is>
      </c>
    </row>
    <row r="18" ht="28.5" customHeight="1" s="44">
      <c r="A18" s="18" t="n">
        <v>9</v>
      </c>
      <c r="B18" s="19" t="inlineStr">
        <is>
          <t>KOMPLAENS NAZORATI VA ICHKI AUDIT BO‘YICHA BOSH MUTAXASSIS</t>
        </is>
      </c>
      <c r="C18" s="19" t="inlineStr">
        <is>
          <t>Bosh mutaxassis</t>
        </is>
      </c>
      <c r="D18" s="5" t="inlineStr">
        <is>
          <t>Muxammatov Alisher</t>
        </is>
      </c>
    </row>
    <row r="19" ht="42.75" customHeight="1" s="44">
      <c r="A19" s="18" t="n">
        <v>10</v>
      </c>
      <c r="B19" s="19" t="inlineStr">
        <is>
          <t>KO‘RGAZMA-TADBIRLARNI TASHKIL ETISH BO'LIMI</t>
        </is>
      </c>
      <c r="C19" s="19" t="inlineStr">
        <is>
          <t>Bosh mutaxassis</t>
        </is>
      </c>
      <c r="D19" s="5" t="inlineStr">
        <is>
          <t>Beknazarov Sherzod</t>
        </is>
      </c>
    </row>
    <row r="20" ht="42.75" customHeight="1" s="44">
      <c r="A20" s="18" t="n">
        <v>11</v>
      </c>
      <c r="B20" s="19" t="inlineStr">
        <is>
          <t>KO‘RGAZMA-TADBIRLARNI TASHKIL ETISH BO'LIMI</t>
        </is>
      </c>
      <c r="C20" s="19" t="inlineStr">
        <is>
          <t>Kotiba</t>
        </is>
      </c>
      <c r="D20" s="5" t="inlineStr">
        <is>
          <t>Isakova Kamila</t>
        </is>
      </c>
    </row>
    <row r="21" ht="42.75" customHeight="1" s="44">
      <c r="A21" s="18" t="n">
        <v>12</v>
      </c>
      <c r="B21" s="19" t="inlineStr">
        <is>
          <t>MARKETING VA EKSPORTNI RIVOJLANTIRISH BOSHQARMASI</t>
        </is>
      </c>
      <c r="C21" s="19" t="inlineStr">
        <is>
          <t>Boshqarma boshlig‘i</t>
        </is>
      </c>
      <c r="D21" s="5" t="inlineStr">
        <is>
          <t>Tashmatov Baxodir</t>
        </is>
      </c>
    </row>
    <row r="22" ht="42.75" customHeight="1" s="44">
      <c r="A22" s="18" t="n">
        <v>13</v>
      </c>
      <c r="B22" s="19" t="inlineStr">
        <is>
          <t>MARKETING VA EKSPORTNI RIVOJLANTIRISH BOSHQARMASI</t>
        </is>
      </c>
      <c r="C22" s="19" t="inlineStr">
        <is>
          <t>Boshqarma boshlig‘i</t>
        </is>
      </c>
      <c r="D22" s="5" t="inlineStr">
        <is>
          <t>Utamuradov Asqar</t>
        </is>
      </c>
    </row>
    <row r="23" ht="28.5" customHeight="1" s="44">
      <c r="A23" s="18" t="n">
        <v>14</v>
      </c>
      <c r="B23" s="19" t="inlineStr">
        <is>
          <t>MARKETING VA EKSPORTNI RIVOJLANTIRISH BOSHQARMASI</t>
        </is>
      </c>
      <c r="C23" s="19" t="inlineStr">
        <is>
          <t>Bosh mutaxassis</t>
        </is>
      </c>
      <c r="D23" s="5" t="inlineStr">
        <is>
          <t>Abduraximov Abdulaziz</t>
        </is>
      </c>
    </row>
    <row r="24" ht="28.5" customHeight="1" s="44">
      <c r="A24" s="18" t="n">
        <v>15</v>
      </c>
      <c r="B24" s="19" t="inlineStr">
        <is>
          <t>MARKETING VA EKSPORTNI RIVOJLANTIRISH BOSHQARMASI</t>
        </is>
      </c>
      <c r="C24" s="19" t="inlineStr">
        <is>
          <t>Bosh mutaxassis</t>
        </is>
      </c>
      <c r="D24" s="5" t="inlineStr">
        <is>
          <t>Asatullayeva Shirin</t>
        </is>
      </c>
    </row>
    <row r="25" ht="28.5" customHeight="1" s="44">
      <c r="A25" s="18" t="n">
        <v>16</v>
      </c>
      <c r="B25" s="19" t="inlineStr">
        <is>
          <t>MARKETING VA EKSPORTNI RIVOJLANTIRISH BOSHQARMASI</t>
        </is>
      </c>
      <c r="C25" s="19" t="inlineStr">
        <is>
          <t>Bosh mutaxassis</t>
        </is>
      </c>
      <c r="D25" s="5" t="inlineStr">
        <is>
          <t>Gaparov Isfandiyorbek</t>
        </is>
      </c>
    </row>
    <row r="26" ht="28.5" customHeight="1" s="44">
      <c r="A26" s="18" t="n">
        <v>17</v>
      </c>
      <c r="B26" s="19" t="inlineStr">
        <is>
          <t>MARKETING VA EKSPORTNI RIVOJLANTIRISH BOSHQARMASI</t>
        </is>
      </c>
      <c r="C26" s="19" t="inlineStr">
        <is>
          <t>Bosh mutaxassis</t>
        </is>
      </c>
      <c r="D26" s="5" t="inlineStr">
        <is>
          <t>Jumaboyev Rashid</t>
        </is>
      </c>
    </row>
    <row r="27" ht="28.5" customHeight="1" s="44">
      <c r="A27" s="18" t="n">
        <v>18</v>
      </c>
      <c r="B27" s="19" t="inlineStr">
        <is>
          <t>MARKETING VA EKSPORTNI RIVOJLANTIRISH BOSHQARMASI</t>
        </is>
      </c>
      <c r="C27" s="19" t="inlineStr">
        <is>
          <t>Bosh mutaxassis</t>
        </is>
      </c>
      <c r="D27" s="5" t="inlineStr">
        <is>
          <t>Mirzayev Otabek</t>
        </is>
      </c>
    </row>
    <row r="28" ht="28.5" customHeight="1" s="44">
      <c r="A28" s="18" t="n">
        <v>19</v>
      </c>
      <c r="B28" s="19" t="inlineStr">
        <is>
          <t>MARKETING VA EKSPORTNI RIVOJLANTIRISH BOSHQARMASI</t>
        </is>
      </c>
      <c r="C28" s="19" t="inlineStr">
        <is>
          <t>Bosh mutaxassis</t>
        </is>
      </c>
      <c r="D28" s="5" t="inlineStr">
        <is>
          <t>Nabiev Omonullo</t>
        </is>
      </c>
    </row>
    <row r="29" ht="42.75" customHeight="1" s="44">
      <c r="A29" s="18" t="n">
        <v>20</v>
      </c>
      <c r="B29" s="19" t="inlineStr">
        <is>
          <t>MARKETING VA EKSPORTNI RIVOJLANTIRISH BOSHQARMASI</t>
        </is>
      </c>
      <c r="C29" s="19" t="inlineStr">
        <is>
          <t>Bosh mutaxassis</t>
        </is>
      </c>
      <c r="D29" s="5" t="inlineStr">
        <is>
          <t>Salayev Eldor</t>
        </is>
      </c>
    </row>
    <row r="30" ht="42.75" customHeight="1" s="44">
      <c r="A30" s="18" t="n">
        <v>21</v>
      </c>
      <c r="B30" s="19" t="inlineStr">
        <is>
          <t>MARKETING VA EKSPORTNI RIVOJLANTIRISH BOSHQARMASI</t>
        </is>
      </c>
      <c r="C30" s="19" t="inlineStr">
        <is>
          <t>Texnik</t>
        </is>
      </c>
      <c r="D30" s="5" t="inlineStr">
        <is>
          <t>Narziqulov Sirojiddin</t>
        </is>
      </c>
    </row>
    <row r="31" ht="42.75" customHeight="1" s="44">
      <c r="A31" s="18" t="n">
        <v>22</v>
      </c>
      <c r="B31" s="19" t="inlineStr">
        <is>
          <t>MOLIYA-IQTISOD VA KO‘RGAZMA-TADBIRLARNI MOLIYALASHTIRISH BOSHQARMASI</t>
        </is>
      </c>
      <c r="C31" s="19" t="inlineStr">
        <is>
          <t>Boshqarma boshlig‘i</t>
        </is>
      </c>
      <c r="D31" s="5" t="inlineStr">
        <is>
          <t>Qarshiyev In’om</t>
        </is>
      </c>
    </row>
    <row r="32" ht="42.75" customHeight="1" s="44">
      <c r="A32" s="18" t="n">
        <v>23</v>
      </c>
      <c r="B32" s="19" t="inlineStr">
        <is>
          <t>KOMPLAENS NAZORATI VA ICHKI AUDIT BO‘YICHA BOSH MUTAXASSIS</t>
        </is>
      </c>
      <c r="C32" s="19" t="inlineStr">
        <is>
          <t>Bosh mutaxassis</t>
        </is>
      </c>
      <c r="D32" s="5" t="inlineStr">
        <is>
          <t>Sultanova Maxbuba</t>
        </is>
      </c>
    </row>
    <row r="33" ht="42.75" customHeight="1" s="44">
      <c r="A33" s="18" t="n">
        <v>24</v>
      </c>
      <c r="B33" s="19" t="inlineStr">
        <is>
          <t>MOLIYA-IQTISOD VA KO‘RGAZMA-TADBIRLARNI MOLIYALASHTIRISH BOSHQARMASI</t>
        </is>
      </c>
      <c r="C33" s="19" t="inlineStr">
        <is>
          <t>Bosh mutaxassis</t>
        </is>
      </c>
      <c r="D33" s="5" t="inlineStr">
        <is>
          <t>Eshniyozov Rustambek</t>
        </is>
      </c>
    </row>
    <row r="34" ht="42.75" customHeight="1" s="44">
      <c r="A34" s="18" t="n">
        <v>25</v>
      </c>
      <c r="B34" s="19" t="inlineStr">
        <is>
          <t>MOLIYA-IQTISOD VA KO‘RGAZMA-TADBIRLARNI MOLIYALASHTIRISH BOSHQARMASI</t>
        </is>
      </c>
      <c r="C34" s="19" t="inlineStr">
        <is>
          <t>Bosh mutaxassis</t>
        </is>
      </c>
      <c r="D34" s="5" t="inlineStr">
        <is>
          <t>Meliyev Baxtiyor</t>
        </is>
      </c>
    </row>
    <row r="35" ht="28.5" customHeight="1" s="44">
      <c r="A35" s="18" t="n">
        <v>26</v>
      </c>
      <c r="B35" s="19" t="inlineStr">
        <is>
          <t>MOLIYA-IQTISOD VA KO‘RGAZMA-TADBIRLARNI MOLIYALASHTIRISH BOSHQARMASI</t>
        </is>
      </c>
      <c r="C35" s="19" t="inlineStr">
        <is>
          <t>Bosh mutaxassis</t>
        </is>
      </c>
      <c r="D35" s="5" t="inlineStr">
        <is>
          <t>Yaxshiboyev Ulug‘bek</t>
        </is>
      </c>
    </row>
    <row r="36" ht="28.5" customHeight="1" s="44">
      <c r="A36" s="18" t="n">
        <v>27</v>
      </c>
      <c r="B36" s="19" t="inlineStr">
        <is>
          <t>MOLIYA-IQTISOD VA KO‘RGAZMA-TADBIRLARNI MOLIYALASHTIRISH BOSHQARMASI</t>
        </is>
      </c>
      <c r="C36" s="19" t="inlineStr">
        <is>
          <t>Yetakchi mutaxassis</t>
        </is>
      </c>
      <c r="D36" s="5" t="inlineStr">
        <is>
          <t>Abdullayev Abbos</t>
        </is>
      </c>
    </row>
    <row r="37" ht="28.5" customHeight="1" s="44">
      <c r="A37" s="18" t="n">
        <v>28</v>
      </c>
      <c r="B37" s="19" t="inlineStr">
        <is>
          <t>RAHBARIYAT</t>
        </is>
      </c>
      <c r="C37" s="19" t="inlineStr">
        <is>
          <t>Maslahatchi</t>
        </is>
      </c>
      <c r="D37" s="5" t="inlineStr">
        <is>
          <t>Atayeva Ogulnur</t>
        </is>
      </c>
    </row>
    <row r="38" ht="28.5" customHeight="1" s="44">
      <c r="A38" s="18" t="n">
        <v>29</v>
      </c>
      <c r="B38" s="19" t="inlineStr">
        <is>
          <t>RAHBARIYAT</t>
        </is>
      </c>
      <c r="C38" s="19" t="inlineStr">
        <is>
          <t>Kotib</t>
        </is>
      </c>
      <c r="D38" s="5" t="inlineStr">
        <is>
          <t>Ergashev Farrux</t>
        </is>
      </c>
    </row>
    <row r="39" ht="28.5" customHeight="1" s="44">
      <c r="A39" s="18" t="n">
        <v>30</v>
      </c>
      <c r="B39" s="19" t="inlineStr">
        <is>
          <t>RAHBARIYAT</t>
        </is>
      </c>
      <c r="C39" s="19" t="inlineStr">
        <is>
          <t>Kotiba</t>
        </is>
      </c>
      <c r="D39" s="5" t="inlineStr">
        <is>
          <t>Xamrakulova Shaira</t>
        </is>
      </c>
    </row>
    <row r="40" ht="28.5" customHeight="1" s="44">
      <c r="A40" s="18" t="n">
        <v>31</v>
      </c>
      <c r="B40" s="19" t="inlineStr">
        <is>
          <t>RAHBARIYAT</t>
        </is>
      </c>
      <c r="C40" s="19" t="inlineStr">
        <is>
          <t>Matbuot kotibi</t>
        </is>
      </c>
      <c r="D40" s="5" t="inlineStr">
        <is>
          <t>Xolliyev Ozodbek</t>
        </is>
      </c>
    </row>
    <row r="41" ht="42.75" customHeight="1" s="44">
      <c r="A41" s="18" t="n">
        <v>32</v>
      </c>
      <c r="B41" s="19" t="inlineStr">
        <is>
          <t>RAQAMLASHTIRISH VA SOHA KORXONALARIGA AXBOROT TEXNOLOGIYALARINI JORIY QILISH BO‘LIMI</t>
        </is>
      </c>
      <c r="C41" s="19" t="inlineStr">
        <is>
          <t>Bo‘lim boshlig‘i</t>
        </is>
      </c>
      <c r="D41" s="5" t="inlineStr">
        <is>
          <t>Axmedov Azizbek</t>
        </is>
      </c>
    </row>
    <row r="42" ht="42.75" customHeight="1" s="44">
      <c r="A42" s="18" t="n">
        <v>33</v>
      </c>
      <c r="B42" s="19" t="inlineStr">
        <is>
          <t>RAQAMLASHTIRISH VA SOHA KORXONALARIGA AXBOROT TEXNOLOGIYALARINI JORIY QILISH BO‘LIMI</t>
        </is>
      </c>
      <c r="C42" s="19" t="inlineStr">
        <is>
          <t>Bosh mutaxassis</t>
        </is>
      </c>
      <c r="D42" s="5" t="inlineStr">
        <is>
          <t>Soibov Rizobek</t>
        </is>
      </c>
    </row>
    <row r="43" ht="42.75" customHeight="1" s="44">
      <c r="A43" s="18" t="n">
        <v>34</v>
      </c>
      <c r="B43" s="19" t="inlineStr">
        <is>
          <t>RAQAMLASHTIRISH VA SOHA KORXONALARIGA AXBOROT TEXNOLOGIYALARINI JORIY QILISH BO‘LIMI</t>
        </is>
      </c>
      <c r="C43" s="19" t="inlineStr">
        <is>
          <t>Kompyuter texnikasiga texnik xizmat ko'rsatish texnigi</t>
        </is>
      </c>
      <c r="D43" s="5" t="inlineStr">
        <is>
          <t>Solijonov Sarvar</t>
        </is>
      </c>
    </row>
    <row r="44" ht="42.75" customHeight="1" s="44">
      <c r="A44" s="18" t="n">
        <v>35</v>
      </c>
      <c r="B44" s="19" t="inlineStr">
        <is>
          <t>STRATEGIK REJALASHTIRISH, AXBOROT-TAHLIL VA XALQARO HAMKORLIK BOSHQARMASI</t>
        </is>
      </c>
      <c r="C44" s="19" t="inlineStr">
        <is>
          <t>Bosh mutaxassis</t>
        </is>
      </c>
      <c r="D44" s="5" t="inlineStr">
        <is>
          <t>Axundjanov Xumoyunmirzo</t>
        </is>
      </c>
    </row>
    <row r="45" ht="42.75" customHeight="1" s="44">
      <c r="A45" s="18" t="n">
        <v>36</v>
      </c>
      <c r="B45" s="19" t="inlineStr">
        <is>
          <t>STRATEGIK REJALASHTIRISH, AXBOROT-TAHLIL VA XALQARO HAMKORLIK BOSHQARMASI</t>
        </is>
      </c>
      <c r="C45" s="19" t="inlineStr">
        <is>
          <t>Bosh mutaxassis</t>
        </is>
      </c>
      <c r="D45" s="5" t="inlineStr">
        <is>
          <t>Ergashev Mirzabek</t>
        </is>
      </c>
    </row>
    <row r="46" ht="42.75" customHeight="1" s="44">
      <c r="A46" s="18" t="n">
        <v>37</v>
      </c>
      <c r="B46" s="19" t="inlineStr">
        <is>
          <t>STRATEGIK REJALASHTIRISH, AXBOROT-TAHLIL VA XALQARO HAMKORLIK BOSHQARMASI</t>
        </is>
      </c>
      <c r="C46" s="19" t="inlineStr">
        <is>
          <t>Bosh mutaxassis</t>
        </is>
      </c>
      <c r="D46" s="5" t="inlineStr">
        <is>
          <t>Madraximov Baxtiyorjon</t>
        </is>
      </c>
    </row>
    <row r="47" ht="28.5" customHeight="1" s="44">
      <c r="A47" s="18" t="n">
        <v>38</v>
      </c>
      <c r="B47" s="19" t="inlineStr">
        <is>
          <t>STRATEGIK REJALASHTIRISH, AXBOROT-TAHLIL VA XALQARO HAMKORLIK BOSHQARMASI</t>
        </is>
      </c>
      <c r="C47" s="19" t="inlineStr">
        <is>
          <t>Bosh mutaxassis</t>
        </is>
      </c>
      <c r="D47" s="5" t="inlineStr">
        <is>
          <t>Norqulov Baxriddin</t>
        </is>
      </c>
    </row>
    <row r="48" ht="28.5" customHeight="1" s="44">
      <c r="A48" s="18" t="n">
        <v>39</v>
      </c>
      <c r="B48" s="19" t="inlineStr">
        <is>
          <t>STRATEGIK REJALASHTIRISH, AXBOROT-TAHLIL VA XALQARO HAMKORLIK BOSHQARMASI</t>
        </is>
      </c>
      <c r="C48" s="19" t="inlineStr">
        <is>
          <t>Bosh mutaxassis</t>
        </is>
      </c>
      <c r="D48" s="5" t="inlineStr">
        <is>
          <t>Xazratqulova Marhabo</t>
        </is>
      </c>
    </row>
    <row r="49" ht="28.5" customHeight="1" s="44">
      <c r="A49" s="18" t="n">
        <v>40</v>
      </c>
      <c r="B49" s="19" t="inlineStr">
        <is>
          <t>TEXNOLOGIYALARNI MODERNIZATSIYA QILISH, INNOVATSIYA VA INVESTITSIYA LOYIHALARI BOSHQARMASI</t>
        </is>
      </c>
      <c r="C49" s="19" t="inlineStr">
        <is>
          <t>Boshqarma boshlig‘i</t>
        </is>
      </c>
      <c r="D49" s="5" t="inlineStr">
        <is>
          <t>Abduraxmanov Shuxrat</t>
        </is>
      </c>
    </row>
    <row r="50" ht="28.5" customHeight="1" s="44">
      <c r="A50" s="18" t="n">
        <v>41</v>
      </c>
      <c r="B50" s="19" t="inlineStr">
        <is>
          <t>TEXNOLOGIYALARNI MODERNIZATSIYA QILISH, INNOVATSIYA VA INVESTITSIYA LOYIHALARI BOSHQARMASI</t>
        </is>
      </c>
      <c r="C50" s="19" t="inlineStr">
        <is>
          <t>Boshqarma boshlig‘i</t>
        </is>
      </c>
      <c r="D50" s="5" t="inlineStr">
        <is>
          <t>Karimov Ulug'bek</t>
        </is>
      </c>
    </row>
    <row r="51" ht="28.5" customHeight="1" s="44">
      <c r="A51" s="18" t="n">
        <v>42</v>
      </c>
      <c r="B51" s="19" t="inlineStr">
        <is>
          <t>TEXNOLOGIYALARNI MODERNIZATSIYA QILISH, INNOVATSIYA VA INVESTITSIYA LOYIHALARI BOSHQARMASI</t>
        </is>
      </c>
      <c r="C51" s="19" t="inlineStr">
        <is>
          <t>Boshqarma boshlig‘i o‘rinbosari</t>
        </is>
      </c>
      <c r="D51" s="5" t="inlineStr">
        <is>
          <t>Xaydarov Sarvar</t>
        </is>
      </c>
    </row>
    <row r="52" ht="28.5" customHeight="1" s="44">
      <c r="A52" s="18" t="n">
        <v>43</v>
      </c>
      <c r="B52" s="19" t="inlineStr">
        <is>
          <t>TEXNOLOGIYALARNI MODERNIZATSIYA QILISH, INNOVATSIYA VA INVESTITSIYA LOYIHALARI BOSHQARMASI</t>
        </is>
      </c>
      <c r="C52" s="19" t="inlineStr">
        <is>
          <t>Bosh mutaxassis</t>
        </is>
      </c>
      <c r="D52" s="5" t="inlineStr">
        <is>
          <t>Baxtiyarov Shaxzod</t>
        </is>
      </c>
    </row>
    <row r="53" ht="28.5" customHeight="1" s="44">
      <c r="A53" s="18" t="n">
        <v>44</v>
      </c>
      <c r="B53" s="19" t="inlineStr">
        <is>
          <t>TEXNOLOGIYALARNI MODERNIZATSIYA QILISH, INNOVATSIYA VA INVESTITSIYA LOYIHALARI BOSHQARMASI</t>
        </is>
      </c>
      <c r="C53" s="19" t="inlineStr">
        <is>
          <t>Bosh mutaxassis</t>
        </is>
      </c>
      <c r="D53" s="5" t="inlineStr">
        <is>
          <t>Qudratov Said</t>
        </is>
      </c>
    </row>
    <row r="54" ht="42.75" customHeight="1" s="44">
      <c r="A54" s="18" t="n">
        <v>45</v>
      </c>
      <c r="B54" s="19" t="inlineStr">
        <is>
          <t>TEXNOLOGIYALARNI MODERNIZATSIYA QILISH, INNOVATSIYA VA INVESTITSIYA LOYIHALARI BOSHQARMASI</t>
        </is>
      </c>
      <c r="C54" s="19" t="inlineStr">
        <is>
          <t>Bosh mutaxassis</t>
        </is>
      </c>
      <c r="D54" s="5" t="inlineStr">
        <is>
          <t>Rahmatov Sherzod</t>
        </is>
      </c>
    </row>
    <row r="55" ht="42.75" customHeight="1" s="44">
      <c r="A55" s="18" t="n">
        <v>46</v>
      </c>
      <c r="B55" s="19" t="inlineStr">
        <is>
          <t>TEXNOLOGIYALARNI MODERNIZATSIYA QILISH, INNOVATSIYA VA INVESTITSIYA LOYIHALARI BOSHQARMASI</t>
        </is>
      </c>
      <c r="C55" s="19" t="inlineStr">
        <is>
          <t>Bosh mutaxassis</t>
        </is>
      </c>
      <c r="D55" s="5" t="inlineStr">
        <is>
          <t>Xo‘jayev Sardor</t>
        </is>
      </c>
    </row>
    <row r="56" ht="42.75" customHeight="1" s="44">
      <c r="A56" s="18" t="n">
        <v>47</v>
      </c>
      <c r="B56" s="19" t="inlineStr">
        <is>
          <t>YENGIL SANOAT SOHASIDA ISHLAB CHIQARISHNI TASHKIL ETISH VA KOOPERATSIYA BOSHQARMASI</t>
        </is>
      </c>
      <c r="C56" s="19" t="inlineStr">
        <is>
          <t>Boshqarma boshlig‘i</t>
        </is>
      </c>
      <c r="D56" s="5" t="inlineStr">
        <is>
          <t>Ruziyev Utkir</t>
        </is>
      </c>
    </row>
    <row r="57" ht="42.75" customHeight="1" s="44">
      <c r="A57" s="20" t="n">
        <v>48</v>
      </c>
      <c r="B57" s="21" t="inlineStr">
        <is>
          <t>YENGIL SANOAT SOHASIDA ISHLAB CHIQARISHNI TASHKIL ETISH VA KOOPERATSIYA BOSHQARMASI</t>
        </is>
      </c>
      <c r="C57" s="21" t="inlineStr">
        <is>
          <t>Boshqarma boshlig‘i o‘rinbosari</t>
        </is>
      </c>
      <c r="D57" s="9" t="inlineStr">
        <is>
          <t>Zaxidov Mirsaid</t>
        </is>
      </c>
    </row>
    <row r="58" ht="42.75" customHeight="1" s="44">
      <c r="A58" s="42" t="n">
        <v>49</v>
      </c>
      <c r="B58" s="42" t="inlineStr">
        <is>
          <t>YENGIL SANOAT SOHASIDA ISHLAB CHIQARISHNI TASHKIL ETISH VA KOOPERATSIYA BOSHQARMASI</t>
        </is>
      </c>
      <c r="C58" s="42" t="inlineStr">
        <is>
          <t>Bo‘lim boshlig‘i</t>
        </is>
      </c>
      <c r="D58" s="42" t="inlineStr">
        <is>
          <t>Isomiddinov Ibodullo</t>
        </is>
      </c>
    </row>
    <row r="59" ht="42.75" customHeight="1" s="44">
      <c r="A59" s="42" t="n">
        <v>50</v>
      </c>
      <c r="B59" s="42" t="inlineStr">
        <is>
          <t>YENGIL SANOAT SOHASIDA ISHLAB CHIQARISHNI TASHKIL ETISH VA KOOPERATSIYA BOSHQARMASI</t>
        </is>
      </c>
      <c r="C59" s="42" t="inlineStr">
        <is>
          <t>Bosh mutaxassis</t>
        </is>
      </c>
      <c r="D59" s="42" t="inlineStr">
        <is>
          <t>Axadov Asror</t>
        </is>
      </c>
    </row>
    <row r="60" ht="42.75" customHeight="1" s="44">
      <c r="A60" s="42" t="n">
        <v>51</v>
      </c>
      <c r="B60" s="42" t="inlineStr">
        <is>
          <t>YENGIL SANOAT SOHASIDA ISHLAB CHIQARISHNI TASHKIL ETISH VA KOOPERATSIYA BOSHQARMASI</t>
        </is>
      </c>
      <c r="C60" s="42" t="inlineStr">
        <is>
          <t>Bosh mutaxassis</t>
        </is>
      </c>
      <c r="D60" s="42" t="inlineStr">
        <is>
          <t>Bobokulov Sodiq</t>
        </is>
      </c>
    </row>
    <row r="61" ht="42.75" customHeight="1" s="44">
      <c r="A61" s="42" t="n">
        <v>52</v>
      </c>
      <c r="B61" s="42" t="inlineStr">
        <is>
          <t>YENGIL SANOAT SOHASIDA ISHLAB CHIQARISHNI TASHKIL ETISH VA KOOPERATSIYA BOSHQARMASI</t>
        </is>
      </c>
      <c r="C61" s="42" t="inlineStr">
        <is>
          <t>Bosh mutaxassis</t>
        </is>
      </c>
      <c r="D61" s="42" t="inlineStr">
        <is>
          <t>Ibroximov Otabek</t>
        </is>
      </c>
    </row>
    <row r="62" ht="42.75" customHeight="1" s="44">
      <c r="A62" s="42" t="n">
        <v>53</v>
      </c>
      <c r="B62" s="42" t="inlineStr">
        <is>
          <t>YENGIL SANOAT SOHASIDA ISHLAB CHIQARISHNI TASHKIL ETISH VA KOOPERATSIYA BOSHQARMASI</t>
        </is>
      </c>
      <c r="C62" s="42" t="inlineStr">
        <is>
          <t>Bosh mutaxassis</t>
        </is>
      </c>
      <c r="D62" s="42" t="inlineStr">
        <is>
          <t>Istamov Firdavs</t>
        </is>
      </c>
    </row>
    <row r="63" ht="42.75" customHeight="1" s="44">
      <c r="A63" s="42" t="n">
        <v>54</v>
      </c>
      <c r="B63" s="42" t="inlineStr">
        <is>
          <t>YENGIL SANOAT SOHASIDA ISHLAB CHIQARISHNI TASHKIL ETISH VA KOOPERATSIYA BOSHQARMASI</t>
        </is>
      </c>
      <c r="C63" s="42" t="inlineStr">
        <is>
          <t>Bosh mutaxassis</t>
        </is>
      </c>
      <c r="D63" s="42" t="inlineStr">
        <is>
          <t>Nasibboyev Fazliddin</t>
        </is>
      </c>
    </row>
    <row r="64" ht="42.75" customHeight="1" s="44">
      <c r="A64" s="42" t="n">
        <v>55</v>
      </c>
      <c r="B64" s="42" t="inlineStr">
        <is>
          <t>YURIDIK BO'LIM</t>
        </is>
      </c>
      <c r="C64" s="42" t="inlineStr">
        <is>
          <t>Boshqarma boshlig‘i</t>
        </is>
      </c>
      <c r="D64" s="42" t="inlineStr">
        <is>
          <t>Tursunov Jahongir</t>
        </is>
      </c>
    </row>
    <row r="65" ht="42.75" customHeight="1" s="44">
      <c r="A65" s="42" t="n">
        <v>56</v>
      </c>
      <c r="B65" s="42" t="inlineStr">
        <is>
          <t>YURIDIK BO'LIM</t>
        </is>
      </c>
      <c r="C65" s="42" t="inlineStr">
        <is>
          <t>Bosh mutaxassis</t>
        </is>
      </c>
      <c r="D65" s="42" t="inlineStr">
        <is>
          <t>Pulatov Kamron</t>
        </is>
      </c>
    </row>
    <row r="66" ht="42.75" customHeight="1" s="44">
      <c r="A66" s="42" t="n">
        <v>57</v>
      </c>
      <c r="B66" s="42" t="inlineStr">
        <is>
          <t>YENGIL SANOAT KORXONALARI FAOLIYATI SAMARADORLIGI TAHLILI BO‘LIMI</t>
        </is>
      </c>
      <c r="C66" s="42" t="inlineStr">
        <is>
          <t>Bosh mutaxassis</t>
        </is>
      </c>
      <c r="D66" s="42" t="inlineStr">
        <is>
          <t>Yoqubov Azizbek</t>
        </is>
      </c>
    </row>
    <row r="67" ht="42.75" customHeight="1" s="44">
      <c r="A67" s="42" t="n">
        <v>58</v>
      </c>
      <c r="B67" s="42" t="inlineStr">
        <is>
          <t>LOYIHA OFISI</t>
        </is>
      </c>
      <c r="C67" s="42" t="inlineStr">
        <is>
          <t>Bosh mutaxassis</t>
        </is>
      </c>
      <c r="D67" s="42" t="inlineStr">
        <is>
          <t>Abdiraufova Marjona</t>
        </is>
      </c>
    </row>
    <row r="68" ht="42.75" customHeight="1" s="44">
      <c r="A68" s="42" t="n">
        <v>59</v>
      </c>
      <c r="B68" s="42" t="inlineStr">
        <is>
          <t>LOYIHA OFISI</t>
        </is>
      </c>
      <c r="C68" s="42" t="inlineStr">
        <is>
          <t>Bosh mutaxassis</t>
        </is>
      </c>
      <c r="D68" s="42" t="inlineStr">
        <is>
          <t>Timirov Sherzod</t>
        </is>
      </c>
    </row>
    <row r="69" ht="42.75" customHeight="1" s="44">
      <c r="A69" s="42" t="n">
        <v>60</v>
      </c>
      <c r="B69" s="42" t="inlineStr">
        <is>
          <t>LOYIHA OFISI</t>
        </is>
      </c>
      <c r="C69" s="42" t="inlineStr">
        <is>
          <t>Bosh mutaxassis</t>
        </is>
      </c>
      <c r="D69" s="42" t="inlineStr">
        <is>
          <t>Zarifov Murodjon</t>
        </is>
      </c>
    </row>
    <row r="70">
      <c r="A70" s="42" t="n">
        <v>61</v>
      </c>
      <c r="B70" s="42" t="inlineStr">
        <is>
          <t>STRATEGIK REJALASHTIRISH, AXBOROT-TAHLIL VA XALQARO HAMKORLIK BOSHQARMASI</t>
        </is>
      </c>
      <c r="C70" s="42" t="inlineStr">
        <is>
          <t>Bosh mutaxassis</t>
        </is>
      </c>
      <c r="D70" s="42" t="inlineStr">
        <is>
          <t>Ismonaliyev Fayzullo</t>
        </is>
      </c>
    </row>
    <row r="71">
      <c r="A71" s="42" t="n"/>
      <c r="B71" s="42" t="n"/>
      <c r="C71" s="42" t="n"/>
      <c r="D71" s="42" t="n"/>
    </row>
    <row r="72" ht="28.5" customHeight="1" s="44">
      <c r="A72" s="42" t="n"/>
      <c r="B72" s="42" t="n"/>
      <c r="C72" s="42" t="n"/>
      <c r="D72" s="42" t="n"/>
    </row>
    <row r="73">
      <c r="A73" s="42" t="n"/>
      <c r="B73" s="42" t="n"/>
      <c r="C73" s="42" t="n"/>
      <c r="D73" s="42" t="n"/>
    </row>
    <row r="74">
      <c r="A74" s="42" t="n"/>
      <c r="B74" s="42" t="n"/>
      <c r="C74" s="42" t="n"/>
      <c r="D74" s="42" t="n"/>
    </row>
    <row r="75">
      <c r="A75" s="42" t="n"/>
      <c r="B75" s="42" t="n"/>
      <c r="C75" s="42" t="n"/>
      <c r="D75" s="42" t="n"/>
    </row>
    <row r="76">
      <c r="A76" s="42" t="n"/>
      <c r="B76" s="42" t="n"/>
      <c r="C76" s="42" t="n"/>
      <c r="D76" s="42" t="n"/>
    </row>
    <row r="77"/>
    <row r="78"/>
    <row r="79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2026-06-01T16:43:07Z</dcterms:created>
  <dcterms:modified xmlns:dcterms="http://purl.org/dc/terms/" xmlns:xsi="http://www.w3.org/2001/XMLSchema-instance" xsi:type="dcterms:W3CDTF">2026-07-30T12:52:34Z</dcterms:modified>
  <cp:lastModifiedBy>USER</cp:lastModifiedBy>
  <cp:lastPrinted>2026-06-01T15:38:44Z</cp:lastPrinted>
</cp:coreProperties>
</file>